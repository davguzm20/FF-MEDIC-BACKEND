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finitivo" sheetId="1" r:id="rId4"/>
    <sheet state="hidden" name="Primer Cronograma" sheetId="2" r:id="rId5"/>
    <sheet state="hidden" name="Correción Cronograma" sheetId="3" r:id="rId6"/>
  </sheets>
  <definedNames/>
  <calcPr/>
  <extLst>
    <ext uri="GoogleSheetsCustomDataVersion2">
      <go:sheetsCustomData xmlns:go="http://customooxmlschemas.google.com/" r:id="rId7" roundtripDataChecksum="N8qVE5KxzrzQmuwwCIgT2edJgp2SpqHquzI8ag0IYYI="/>
    </ext>
  </extLst>
</workbook>
</file>

<file path=xl/sharedStrings.xml><?xml version="1.0" encoding="utf-8"?>
<sst xmlns="http://schemas.openxmlformats.org/spreadsheetml/2006/main" count="643" uniqueCount="211">
  <si>
    <t>CRONOGRAMA DEL PROYECTO</t>
  </si>
  <si>
    <t>Ruta del repositorio Github:</t>
  </si>
  <si>
    <t>Rosales Trinidad Jeanmarco Miguel</t>
  </si>
  <si>
    <t>Jefe de proyecto</t>
  </si>
  <si>
    <t>Grupo:</t>
  </si>
  <si>
    <t>Hanampa Bellido Iris Marisol</t>
  </si>
  <si>
    <t>UX/UI</t>
  </si>
  <si>
    <t>Proyecto:</t>
  </si>
  <si>
    <t>Sistema de Consultorio Medico (SISCOM)</t>
  </si>
  <si>
    <t>Guzman Chavez Manuel David</t>
  </si>
  <si>
    <t>Programador Backend / DBA</t>
  </si>
  <si>
    <t>Tipo plataforma:</t>
  </si>
  <si>
    <t>Web</t>
  </si>
  <si>
    <t>Raymondez Peña Jesus</t>
  </si>
  <si>
    <t>Programador Backend</t>
  </si>
  <si>
    <t xml:space="preserve">Enfoque de desarrollo: </t>
  </si>
  <si>
    <t>Hibrido (Ágil+Tradicional)</t>
  </si>
  <si>
    <t>Burga Montesinos Jeanpiere</t>
  </si>
  <si>
    <t>Programador Frontend</t>
  </si>
  <si>
    <t>Inicio:</t>
  </si>
  <si>
    <t>Huaman Ñ Albert</t>
  </si>
  <si>
    <t>-</t>
  </si>
  <si>
    <t>Fin:</t>
  </si>
  <si>
    <t xml:space="preserve">Actividades </t>
  </si>
  <si>
    <t>Item/Artefacto</t>
  </si>
  <si>
    <t>Nomenclatura</t>
  </si>
  <si>
    <t>Apellido/Rol</t>
  </si>
  <si>
    <t>Inicio</t>
  </si>
  <si>
    <t>Fin</t>
  </si>
  <si>
    <t>Días</t>
  </si>
  <si>
    <t>% de Avance</t>
  </si>
  <si>
    <t>Reunion con clientes</t>
  </si>
  <si>
    <t xml:space="preserve">Evidencia de Reunion </t>
  </si>
  <si>
    <t>SISCOM-EVR1.docx</t>
  </si>
  <si>
    <t>Todos</t>
  </si>
  <si>
    <t>Elaboracion del project charter</t>
  </si>
  <si>
    <t>Documento project charter</t>
  </si>
  <si>
    <t>SISCOM-PC.docx</t>
  </si>
  <si>
    <t>Rosales, Hanampa, Guzman, Burga, Raymondez</t>
  </si>
  <si>
    <t>Elaboracion de la EDT</t>
  </si>
  <si>
    <t>Documento EDT</t>
  </si>
  <si>
    <t>SISCOM-EDT.docx</t>
  </si>
  <si>
    <t>Planificación del cronograma</t>
  </si>
  <si>
    <t>Cronograma del proyecto</t>
  </si>
  <si>
    <t>SISCOM-CP.docx</t>
  </si>
  <si>
    <t>Rosales, Guzman, Raymondez, Huaman</t>
  </si>
  <si>
    <t>Especificacion de Requisitos de negocio</t>
  </si>
  <si>
    <t>Documento BRS</t>
  </si>
  <si>
    <t>SISCOM-BRS.docx</t>
  </si>
  <si>
    <t>Rosales, Guzman, Hanampa</t>
  </si>
  <si>
    <t>Especificacion de Requisitos de software</t>
  </si>
  <si>
    <t>Documento SRS</t>
  </si>
  <si>
    <t>SISCOM-SRS.docx</t>
  </si>
  <si>
    <t>Revision de requisitos</t>
  </si>
  <si>
    <t xml:space="preserve">Reporte de validez de requisitos </t>
  </si>
  <si>
    <t>SISCOM-CR.docx</t>
  </si>
  <si>
    <t>Correccion de requisitos segun revision</t>
  </si>
  <si>
    <t>Documento SRS corregido</t>
  </si>
  <si>
    <t>Rosales, Hanampa, Guzman</t>
  </si>
  <si>
    <t>*</t>
  </si>
  <si>
    <t xml:space="preserve">Hito 1: Analisis </t>
  </si>
  <si>
    <t>Diseño de la arquitectura</t>
  </si>
  <si>
    <t>Documento de arquitectura de proyecto</t>
  </si>
  <si>
    <t>SISCOM-DAP.docx</t>
  </si>
  <si>
    <t>Hanampa, Guzman, Rosales</t>
  </si>
  <si>
    <t>Diseño logico de BD</t>
  </si>
  <si>
    <t>Diagrama de entidad - relacion</t>
  </si>
  <si>
    <t>SISCOM-DER.docx</t>
  </si>
  <si>
    <t>Raymondez, Guzman, Hanampa</t>
  </si>
  <si>
    <t>Diseño fisico de BD</t>
  </si>
  <si>
    <t>Modelo fisico de la BD</t>
  </si>
  <si>
    <t>SISCOM-MDB.sql</t>
  </si>
  <si>
    <t>Elaboracion del plan de pruebas</t>
  </si>
  <si>
    <t>Documento de manejo de pruebas</t>
  </si>
  <si>
    <t>SISCOM-DPP.docx</t>
  </si>
  <si>
    <t>Rosales, Burga</t>
  </si>
  <si>
    <t>Definicion de endpoints</t>
  </si>
  <si>
    <t>Documento de definicion de endpoints</t>
  </si>
  <si>
    <t>SISCOM-API.docx</t>
  </si>
  <si>
    <t>Guzman, Raymondez, Rosales</t>
  </si>
  <si>
    <t>Diseño del prototipo de alta fidelidad</t>
  </si>
  <si>
    <t>Plantillas en figma</t>
  </si>
  <si>
    <t>SISCOM-PFG.fig</t>
  </si>
  <si>
    <t>Hanampa</t>
  </si>
  <si>
    <t xml:space="preserve"> </t>
  </si>
  <si>
    <t>Revision y validacion del diseño de la BD</t>
  </si>
  <si>
    <t>Informe de revision BD</t>
  </si>
  <si>
    <t>SISCOM-IRBD.docx</t>
  </si>
  <si>
    <t>Revision y validacion del diseño de interfaces</t>
  </si>
  <si>
    <t>Informe de revision IF</t>
  </si>
  <si>
    <t>SISCOM-IRIFdocx</t>
  </si>
  <si>
    <t>Revisión y validación de endpoints</t>
  </si>
  <si>
    <t>Informe de revision EP</t>
  </si>
  <si>
    <t>SISCOM-IREP.docx</t>
  </si>
  <si>
    <t>Hito 2: Diseño</t>
  </si>
  <si>
    <t>Configuracion del entorno de desarrollo</t>
  </si>
  <si>
    <t>Entorno listo para desarrollo</t>
  </si>
  <si>
    <t>Guzman, Rosales</t>
  </si>
  <si>
    <t>Implementación del formulario de acceso</t>
  </si>
  <si>
    <t>Codigo funcional</t>
  </si>
  <si>
    <t>Desarrollo del servicio de autenticación</t>
  </si>
  <si>
    <t>Guzman, Raymondez</t>
  </si>
  <si>
    <t>Validación de datos de acceso</t>
  </si>
  <si>
    <t>Gestión de sesiones de usuario</t>
  </si>
  <si>
    <t>Implementación de control de acceso</t>
  </si>
  <si>
    <t>Integración del servicio de autenticación</t>
  </si>
  <si>
    <t>Módulo de Autenticación</t>
  </si>
  <si>
    <t>Implementación del formulario de pacientes</t>
  </si>
  <si>
    <t>Desarrollo del servicio de pacientes</t>
  </si>
  <si>
    <t>Validación de datos de pacientes</t>
  </si>
  <si>
    <t>Integración del servicio de pacientes</t>
  </si>
  <si>
    <t>Módulo de Pacientes</t>
  </si>
  <si>
    <t>Implementación del formulario de atenciones médicas</t>
  </si>
  <si>
    <t>Desarrollo del servicio de atenciones médicas</t>
  </si>
  <si>
    <t>Validación de datos de atención</t>
  </si>
  <si>
    <t>Integración del servicio de atenciones médicas</t>
  </si>
  <si>
    <t>Módulo de Atención Médica</t>
  </si>
  <si>
    <t>Implementación de interfaces de documentos</t>
  </si>
  <si>
    <t>Desarrollo del servicio de documentos</t>
  </si>
  <si>
    <t>Integración del servicio de documentos</t>
  </si>
  <si>
    <t>Visualización y descarga de documentos</t>
  </si>
  <si>
    <t>Módulo de Reportes y Documentos</t>
  </si>
  <si>
    <t>Integración general y pruebas internas</t>
  </si>
  <si>
    <t>Hito 3: Desarrollo</t>
  </si>
  <si>
    <t>Definición de casos de prueba</t>
  </si>
  <si>
    <t>Documento de casos de prueba</t>
  </si>
  <si>
    <t>SISCOM-CPR.docx</t>
  </si>
  <si>
    <t>Burga, Raymondez, Huaman</t>
  </si>
  <si>
    <t>Ejecución de pruebas funcionales</t>
  </si>
  <si>
    <t>Reporte de pruebas funcionales</t>
  </si>
  <si>
    <t>SISCOM-RPF.docx</t>
  </si>
  <si>
    <t>Ejecución de pruebas de usabilidad</t>
  </si>
  <si>
    <t>Reporte de pruebas de usabilidad</t>
  </si>
  <si>
    <t>SISCOM-RPU.docx</t>
  </si>
  <si>
    <t>Corrección de errores</t>
  </si>
  <si>
    <t>Reporte de corección de errores</t>
  </si>
  <si>
    <t>SISCOM-RCE.docx</t>
  </si>
  <si>
    <t>Rosales, Guzman, Raymondez</t>
  </si>
  <si>
    <t>Reejecución de pruebas (verificación)</t>
  </si>
  <si>
    <t>Evidencia de validación</t>
  </si>
  <si>
    <t>SISCOM-RV.docx</t>
  </si>
  <si>
    <t>Validacion final</t>
  </si>
  <si>
    <t>Reporte de validación final</t>
  </si>
  <si>
    <t>SISCOM-RVF.docx</t>
  </si>
  <si>
    <t>Hito 4: Pruebas</t>
  </si>
  <si>
    <t>Recopilación de documentación final</t>
  </si>
  <si>
    <t>Documento recopilatorio final</t>
  </si>
  <si>
    <t>SISCOM-DRF.docx</t>
  </si>
  <si>
    <t>Burga, Raymondez, Huaman, Rosales</t>
  </si>
  <si>
    <t>Elaboración del material de presentación</t>
  </si>
  <si>
    <t>PPTS/CANVA</t>
  </si>
  <si>
    <t>SISCOM.pptx</t>
  </si>
  <si>
    <t>Presentación del proyecto final</t>
  </si>
  <si>
    <t>Presentacion en vivo</t>
  </si>
  <si>
    <t>Hito 5: Entrega y reunion final</t>
  </si>
  <si>
    <t>Inico</t>
  </si>
  <si>
    <t xml:space="preserve">Priorizacion de requisitos </t>
  </si>
  <si>
    <t>Listado de requisitos prioritarios</t>
  </si>
  <si>
    <t>SISCOM-LRP.docx</t>
  </si>
  <si>
    <t>Diagramas de entidad - relacion</t>
  </si>
  <si>
    <t>Raymondez, Guzman</t>
  </si>
  <si>
    <t>Modelo fisico de la bd</t>
  </si>
  <si>
    <t>Guzman</t>
  </si>
  <si>
    <t>Diseño de la interfaz de usuario</t>
  </si>
  <si>
    <t xml:space="preserve">Informe de revision </t>
  </si>
  <si>
    <t>SISCOM-IR.docx</t>
  </si>
  <si>
    <t>Rosales, Hanampa, Guzman, Huaman, Burga</t>
  </si>
  <si>
    <t>Elaboracion del prototipo navegable</t>
  </si>
  <si>
    <t>Prototipo navegable en figma</t>
  </si>
  <si>
    <t>SISCOM-PNFG.docx</t>
  </si>
  <si>
    <t>IDES configurados para el proyecto</t>
  </si>
  <si>
    <t xml:space="preserve">Implementar endpoint de autenticación </t>
  </si>
  <si>
    <t xml:space="preserve">Implementar validación de credenciales </t>
  </si>
  <si>
    <t>Implementar generación de sesión o token</t>
  </si>
  <si>
    <t>Implementar control de acceso básico</t>
  </si>
  <si>
    <t>Diseñar interfaz de inicio de sesión</t>
  </si>
  <si>
    <t>Implementar formulario de login</t>
  </si>
  <si>
    <t>Integrar formulario con API de autenticación</t>
  </si>
  <si>
    <t>Manejar estados (error, loading, éxito)</t>
  </si>
  <si>
    <t>Módulo de Registro de Pacientes</t>
  </si>
  <si>
    <t>Diseñar modelo de datos de paciente</t>
  </si>
  <si>
    <t>Implementar endpoint de registro de paciente</t>
  </si>
  <si>
    <t>Implementar validaciones de datos</t>
  </si>
  <si>
    <t>Implementar endpoint de consulta de pacientes</t>
  </si>
  <si>
    <t>Diseñar formulario de registro de paciente</t>
  </si>
  <si>
    <t>Implementar formulario (inputs, validaciones)</t>
  </si>
  <si>
    <t>Integrar con API de registro</t>
  </si>
  <si>
    <t>Mostrar mensajes de confirmación/error</t>
  </si>
  <si>
    <t>Módulo de Registro de Atención Médica</t>
  </si>
  <si>
    <t>Diseñar modelo de datos de atención médica</t>
  </si>
  <si>
    <t>Implementar endpoints de registro de atención</t>
  </si>
  <si>
    <t>Implementar asociación paciente y atención</t>
  </si>
  <si>
    <t>Diseñar interfaz de registro de atención</t>
  </si>
  <si>
    <t>Implementar formulario de atención médica</t>
  </si>
  <si>
    <t>Integrar con API</t>
  </si>
  <si>
    <t xml:space="preserve">Manejar múltiples secciones </t>
  </si>
  <si>
    <t>Módulo de Generación de Documentos</t>
  </si>
  <si>
    <t xml:space="preserve">Implementar generación de documentos </t>
  </si>
  <si>
    <t>Diseñar plantilla de documentos (receta medica, ordenes de examenes auxiliares e interconsulta)</t>
  </si>
  <si>
    <t>Implementar endpoint de descarga/generación</t>
  </si>
  <si>
    <t>Implementar botón de generación de PDF</t>
  </si>
  <si>
    <t>Consumir endpoint de generación</t>
  </si>
  <si>
    <t>Manejar descarga o visualización</t>
  </si>
  <si>
    <t>Hito 3: Desarrollo y Despliegue</t>
  </si>
  <si>
    <t>Pruebas funcionales</t>
  </si>
  <si>
    <t>Pruebas de usabilidad</t>
  </si>
  <si>
    <t>Correcion de errores</t>
  </si>
  <si>
    <t>Recopilacion de la documentacion</t>
  </si>
  <si>
    <t xml:space="preserve">Creacion del material informativo </t>
  </si>
  <si>
    <t xml:space="preserve">Exposicion del proyecto final </t>
  </si>
  <si>
    <t>Hito 5: entrega y reunion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</si>
</sst>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yy"/>
    <numFmt numFmtId="165" formatCode="d/M/yyyy"/>
  </numFmts>
  <fonts count="13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4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4.0"/>
      <color rgb="FFC00000"/>
      <name val="Calibri"/>
    </font>
    <font>
      <b/>
      <sz val="13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center"/>
    </xf>
    <xf borderId="0" fillId="0" fontId="1" numFmtId="0" xfId="0" applyFont="1"/>
    <xf borderId="0" fillId="3" fontId="1" numFmtId="0" xfId="0" applyFill="1" applyFont="1"/>
    <xf borderId="1" fillId="3" fontId="1" numFmtId="0" xfId="0" applyBorder="1" applyFont="1"/>
    <xf borderId="2" fillId="4" fontId="3" numFmtId="0" xfId="0" applyBorder="1" applyFill="1" applyFont="1"/>
    <xf borderId="2" fillId="0" fontId="1" numFmtId="0" xfId="0" applyBorder="1" applyFont="1"/>
    <xf borderId="3" fillId="0" fontId="4" numFmtId="0" xfId="0" applyAlignment="1" applyBorder="1" applyFont="1">
      <alignment horizontal="center" readingOrder="0" vertical="bottom"/>
    </xf>
    <xf borderId="4" fillId="0" fontId="5" numFmtId="0" xfId="0" applyBorder="1" applyFont="1"/>
    <xf borderId="3" fillId="0" fontId="4" numFmtId="0" xfId="0" applyAlignment="1" applyBorder="1" applyFont="1">
      <alignment horizontal="center" vertical="bottom"/>
    </xf>
    <xf borderId="5" fillId="0" fontId="5" numFmtId="0" xfId="0" applyBorder="1" applyFont="1"/>
    <xf borderId="2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2" fillId="4" fontId="3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left" shrinkToFit="0" wrapText="1"/>
    </xf>
    <xf borderId="2" fillId="0" fontId="1" numFmtId="164" xfId="0" applyAlignment="1" applyBorder="1" applyFont="1" applyNumberFormat="1">
      <alignment horizontal="left" readingOrder="0"/>
    </xf>
    <xf borderId="2" fillId="4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6" numFmtId="14" xfId="0" applyAlignment="1" applyFont="1" applyNumberFormat="1">
      <alignment horizontal="left"/>
    </xf>
    <xf borderId="2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vertical="center"/>
    </xf>
    <xf borderId="2" fillId="3" fontId="1" numFmtId="0" xfId="0" applyAlignment="1" applyBorder="1" applyFont="1">
      <alignment readingOrder="0" vertical="center"/>
    </xf>
    <xf borderId="2" fillId="3" fontId="1" numFmtId="165" xfId="0" applyAlignment="1" applyBorder="1" applyFont="1" applyNumberFormat="1">
      <alignment horizontal="center" readingOrder="0" vertical="center"/>
    </xf>
    <xf borderId="2" fillId="3" fontId="1" numFmtId="3" xfId="0" applyAlignment="1" applyBorder="1" applyFont="1" applyNumberFormat="1">
      <alignment horizontal="center" readingOrder="0" vertical="center"/>
    </xf>
    <xf borderId="2" fillId="3" fontId="1" numFmtId="9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2" fillId="0" fontId="1" numFmtId="165" xfId="0" applyAlignment="1" applyBorder="1" applyFont="1" applyNumberFormat="1">
      <alignment horizontal="center" readingOrder="0" vertical="center"/>
    </xf>
    <xf borderId="2" fillId="0" fontId="1" numFmtId="9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9" xfId="0" applyAlignment="1" applyBorder="1" applyFont="1" applyNumberFormat="1">
      <alignment horizontal="center" readingOrder="0" vertical="center"/>
    </xf>
    <xf borderId="2" fillId="4" fontId="8" numFmtId="0" xfId="0" applyAlignment="1" applyBorder="1" applyFont="1">
      <alignment vertical="center"/>
    </xf>
    <xf borderId="3" fillId="4" fontId="8" numFmtId="164" xfId="0" applyAlignment="1" applyBorder="1" applyFont="1" applyNumberFormat="1">
      <alignment horizontal="left" readingOrder="0" vertical="center"/>
    </xf>
    <xf borderId="5" fillId="4" fontId="8" numFmtId="164" xfId="0" applyAlignment="1" applyBorder="1" applyFont="1" applyNumberFormat="1">
      <alignment horizontal="left" readingOrder="0" vertical="center"/>
    </xf>
    <xf borderId="2" fillId="4" fontId="8" numFmtId="165" xfId="0" applyAlignment="1" applyBorder="1" applyFont="1" applyNumberFormat="1">
      <alignment horizontal="center" readingOrder="0" vertical="center"/>
    </xf>
    <xf borderId="3" fillId="4" fontId="8" numFmtId="165" xfId="0" applyAlignment="1" applyBorder="1" applyFont="1" applyNumberFormat="1">
      <alignment horizontal="center" readingOrder="0" vertical="center"/>
    </xf>
    <xf borderId="2" fillId="4" fontId="7" numFmtId="3" xfId="0" applyAlignment="1" applyBorder="1" applyFont="1" applyNumberFormat="1">
      <alignment horizontal="center" readingOrder="0" vertical="center"/>
    </xf>
    <xf borderId="2" fillId="4" fontId="8" numFmtId="9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vertical="center"/>
    </xf>
    <xf borderId="2" fillId="3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readingOrder="0" vertical="center"/>
    </xf>
    <xf borderId="2" fillId="3" fontId="10" numFmtId="0" xfId="0" applyAlignment="1" applyBorder="1" applyFont="1">
      <alignment vertical="center"/>
    </xf>
    <xf borderId="2" fillId="3" fontId="1" numFmtId="0" xfId="0" applyAlignment="1" applyBorder="1" applyFont="1">
      <alignment readingOrder="0" vertical="center"/>
    </xf>
    <xf borderId="2" fillId="5" fontId="11" numFmtId="0" xfId="0" applyAlignment="1" applyBorder="1" applyFill="1" applyFont="1">
      <alignment readingOrder="0" vertical="center"/>
    </xf>
    <xf borderId="3" fillId="5" fontId="7" numFmtId="164" xfId="0" applyAlignment="1" applyBorder="1" applyFont="1" applyNumberFormat="1">
      <alignment horizontal="left" readingOrder="0" vertical="center"/>
    </xf>
    <xf borderId="5" fillId="5" fontId="7" numFmtId="164" xfId="0" applyAlignment="1" applyBorder="1" applyFont="1" applyNumberFormat="1">
      <alignment horizontal="left" readingOrder="0" vertical="center"/>
    </xf>
    <xf borderId="2" fillId="5" fontId="7" numFmtId="165" xfId="0" applyAlignment="1" applyBorder="1" applyFont="1" applyNumberFormat="1">
      <alignment horizontal="center" readingOrder="0" vertical="center"/>
    </xf>
    <xf borderId="2" fillId="5" fontId="7" numFmtId="3" xfId="0" applyAlignment="1" applyBorder="1" applyFont="1" applyNumberFormat="1">
      <alignment horizontal="center" readingOrder="0" vertical="center"/>
    </xf>
    <xf borderId="2" fillId="5" fontId="7" numFmtId="9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readingOrder="0" vertical="center"/>
    </xf>
    <xf borderId="6" fillId="3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 vertical="center"/>
    </xf>
    <xf borderId="7" fillId="3" fontId="1" numFmtId="0" xfId="0" applyAlignment="1" applyBorder="1" applyFont="1">
      <alignment horizontal="center"/>
    </xf>
    <xf borderId="2" fillId="4" fontId="8" numFmtId="0" xfId="0" applyAlignment="1" applyBorder="1" applyFont="1">
      <alignment readingOrder="0" vertical="center"/>
    </xf>
    <xf borderId="3" fillId="4" fontId="8" numFmtId="165" xfId="0" applyAlignment="1" applyBorder="1" applyFont="1" applyNumberFormat="1">
      <alignment horizontal="left" readingOrder="0" vertical="center"/>
    </xf>
    <xf borderId="5" fillId="4" fontId="8" numFmtId="165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readingOrder="0" vertical="center"/>
    </xf>
    <xf borderId="3" fillId="4" fontId="8" numFmtId="164" xfId="0" applyAlignment="1" applyBorder="1" applyFont="1" applyNumberFormat="1">
      <alignment horizontal="left" readingOrder="0" vertical="center"/>
    </xf>
    <xf borderId="5" fillId="4" fontId="8" numFmtId="164" xfId="0" applyAlignment="1" applyBorder="1" applyFont="1" applyNumberFormat="1">
      <alignment horizontal="left" readingOrder="0" vertical="center"/>
    </xf>
    <xf borderId="2" fillId="4" fontId="7" numFmtId="0" xfId="0" applyAlignment="1" applyBorder="1" applyFont="1">
      <alignment horizontal="center"/>
    </xf>
    <xf borderId="2" fillId="6" fontId="1" numFmtId="0" xfId="0" applyBorder="1" applyFill="1" applyFont="1"/>
    <xf borderId="2" fillId="6" fontId="1" numFmtId="0" xfId="0" applyAlignment="1" applyBorder="1" applyFont="1">
      <alignment readingOrder="0"/>
    </xf>
    <xf borderId="2" fillId="6" fontId="1" numFmtId="164" xfId="0" applyAlignment="1" applyBorder="1" applyFont="1" applyNumberFormat="1">
      <alignment horizontal="left" readingOrder="0"/>
    </xf>
    <xf borderId="2" fillId="6" fontId="1" numFmtId="9" xfId="0" applyAlignment="1" applyBorder="1" applyFont="1" applyNumberFormat="1">
      <alignment horizontal="center"/>
    </xf>
    <xf borderId="2" fillId="0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left"/>
    </xf>
    <xf borderId="2" fillId="0" fontId="1" numFmtId="9" xfId="0" applyAlignment="1" applyBorder="1" applyFont="1" applyNumberFormat="1">
      <alignment horizontal="center" readingOrder="0"/>
    </xf>
    <xf borderId="2" fillId="4" fontId="8" numFmtId="0" xfId="0" applyBorder="1" applyFont="1"/>
    <xf borderId="3" fillId="4" fontId="8" numFmtId="14" xfId="0" applyAlignment="1" applyBorder="1" applyFont="1" applyNumberFormat="1">
      <alignment horizontal="left" readingOrder="0"/>
    </xf>
    <xf borderId="2" fillId="0" fontId="9" numFmtId="0" xfId="0" applyBorder="1" applyFont="1"/>
    <xf borderId="2" fillId="3" fontId="9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3" fillId="4" fontId="8" numFmtId="14" xfId="0" applyAlignment="1" applyBorder="1" applyFont="1" applyNumberFormat="1">
      <alignment horizontal="left"/>
    </xf>
    <xf borderId="2" fillId="3" fontId="10" numFmtId="0" xfId="0" applyBorder="1" applyFont="1"/>
    <xf borderId="2" fillId="7" fontId="11" numFmtId="0" xfId="0" applyAlignment="1" applyBorder="1" applyFill="1" applyFont="1">
      <alignment readingOrder="0"/>
    </xf>
    <xf borderId="3" fillId="7" fontId="9" numFmtId="0" xfId="0" applyBorder="1" applyFont="1"/>
    <xf borderId="2" fillId="3" fontId="1" numFmtId="0" xfId="0" applyAlignment="1" applyBorder="1" applyFont="1">
      <alignment readingOrder="0"/>
    </xf>
    <xf borderId="8" fillId="7" fontId="12" numFmtId="0" xfId="0" applyBorder="1" applyFont="1"/>
    <xf borderId="8" fillId="0" fontId="5" numFmtId="0" xfId="0" applyBorder="1" applyFont="1"/>
    <xf borderId="6" fillId="0" fontId="5" numFmtId="0" xfId="0" applyBorder="1" applyFont="1"/>
    <xf borderId="6" fillId="0" fontId="9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2" fillId="3" fontId="1" numFmtId="0" xfId="0" applyBorder="1" applyFont="1"/>
    <xf borderId="3" fillId="4" fontId="8" numFmtId="164" xfId="0" applyAlignment="1" applyBorder="1" applyFont="1" applyNumberFormat="1">
      <alignment horizontal="left" readingOrder="0"/>
    </xf>
    <xf borderId="9" fillId="3" fontId="1" numFmtId="0" xfId="0" applyBorder="1" applyFont="1"/>
    <xf borderId="10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86"/>
    <col customWidth="1" min="3" max="3" width="42.0"/>
    <col customWidth="1" min="4" max="4" width="22.86"/>
    <col customWidth="1" min="5" max="5" width="77.57"/>
    <col customWidth="1" min="6" max="7" width="17.29"/>
    <col customWidth="1" min="8" max="8" width="12.57"/>
    <col customWidth="1" min="9" max="9" width="17.29"/>
    <col customWidth="1" min="10" max="27" width="10.71"/>
  </cols>
  <sheetData>
    <row r="1" ht="21.0" customHeight="1">
      <c r="A1" s="1"/>
      <c r="B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/>
      <c r="B2" s="3"/>
      <c r="C2" s="3"/>
      <c r="D2" s="4"/>
      <c r="E2" s="5"/>
      <c r="F2" s="3"/>
      <c r="G2" s="3"/>
      <c r="H2" s="3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/>
      <c r="B3" s="6" t="s">
        <v>1</v>
      </c>
      <c r="C3" s="7"/>
      <c r="D3" s="4"/>
      <c r="E3" s="8" t="s">
        <v>2</v>
      </c>
      <c r="F3" s="9"/>
      <c r="G3" s="10" t="s">
        <v>3</v>
      </c>
      <c r="H3" s="11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/>
      <c r="B4" s="6" t="s">
        <v>4</v>
      </c>
      <c r="C4" s="12">
        <v>3.0</v>
      </c>
      <c r="D4" s="4"/>
      <c r="E4" s="8" t="s">
        <v>5</v>
      </c>
      <c r="F4" s="9"/>
      <c r="G4" s="10" t="s">
        <v>6</v>
      </c>
      <c r="H4" s="11"/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0" customHeight="1">
      <c r="A5" s="13"/>
      <c r="B5" s="14" t="s">
        <v>7</v>
      </c>
      <c r="C5" s="15" t="s">
        <v>8</v>
      </c>
      <c r="D5" s="4"/>
      <c r="E5" s="8" t="s">
        <v>9</v>
      </c>
      <c r="F5" s="9"/>
      <c r="G5" s="8" t="s">
        <v>10</v>
      </c>
      <c r="H5" s="11"/>
      <c r="I5" s="9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6.5" customHeight="1">
      <c r="A6" s="13"/>
      <c r="B6" s="14" t="s">
        <v>11</v>
      </c>
      <c r="C6" s="16" t="s">
        <v>12</v>
      </c>
      <c r="D6" s="4"/>
      <c r="E6" s="8" t="s">
        <v>13</v>
      </c>
      <c r="F6" s="9"/>
      <c r="G6" s="8" t="s">
        <v>14</v>
      </c>
      <c r="H6" s="11"/>
      <c r="I6" s="9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1"/>
      <c r="B7" s="6" t="s">
        <v>15</v>
      </c>
      <c r="C7" s="7" t="s">
        <v>16</v>
      </c>
      <c r="D7" s="4"/>
      <c r="E7" s="8" t="s">
        <v>17</v>
      </c>
      <c r="F7" s="9"/>
      <c r="G7" s="8" t="s">
        <v>18</v>
      </c>
      <c r="H7" s="11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1"/>
      <c r="B8" s="6" t="s">
        <v>19</v>
      </c>
      <c r="C8" s="17">
        <v>46111.0</v>
      </c>
      <c r="D8" s="4"/>
      <c r="E8" s="8" t="s">
        <v>20</v>
      </c>
      <c r="F8" s="9"/>
      <c r="G8" s="8" t="s">
        <v>21</v>
      </c>
      <c r="H8" s="11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1"/>
      <c r="B9" s="18" t="s">
        <v>22</v>
      </c>
      <c r="C9" s="17">
        <v>46209.0</v>
      </c>
      <c r="D9" s="4"/>
      <c r="E9" s="19"/>
      <c r="G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"/>
      <c r="B10" s="3"/>
      <c r="C10" s="20"/>
      <c r="D10" s="4"/>
      <c r="E10" s="5"/>
      <c r="F10" s="3"/>
      <c r="G10" s="3"/>
      <c r="H10" s="3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/>
      <c r="B11" s="21" t="s">
        <v>23</v>
      </c>
      <c r="C11" s="21" t="s">
        <v>24</v>
      </c>
      <c r="D11" s="21" t="s">
        <v>25</v>
      </c>
      <c r="E11" s="21" t="s">
        <v>26</v>
      </c>
      <c r="F11" s="22" t="s">
        <v>27</v>
      </c>
      <c r="G11" s="21" t="s">
        <v>28</v>
      </c>
      <c r="H11" s="22" t="s">
        <v>29</v>
      </c>
      <c r="I11" s="21" t="s">
        <v>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/>
      <c r="B12" s="23" t="s">
        <v>31</v>
      </c>
      <c r="C12" s="24" t="s">
        <v>32</v>
      </c>
      <c r="D12" s="24" t="s">
        <v>33</v>
      </c>
      <c r="E12" s="24" t="s">
        <v>34</v>
      </c>
      <c r="F12" s="25">
        <v>46111.0</v>
      </c>
      <c r="G12" s="25">
        <v>46113.0</v>
      </c>
      <c r="H12" s="26">
        <f t="shared" ref="H12:H66" si="1">G12-F12+1</f>
        <v>3</v>
      </c>
      <c r="I12" s="27">
        <v>1.0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/>
      <c r="B13" s="28" t="s">
        <v>35</v>
      </c>
      <c r="C13" s="29" t="s">
        <v>36</v>
      </c>
      <c r="D13" s="24" t="s">
        <v>37</v>
      </c>
      <c r="E13" s="28" t="s">
        <v>38</v>
      </c>
      <c r="F13" s="30">
        <v>46118.0</v>
      </c>
      <c r="G13" s="30">
        <v>46123.0</v>
      </c>
      <c r="H13" s="26">
        <f t="shared" si="1"/>
        <v>6</v>
      </c>
      <c r="I13" s="31">
        <v>1.0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/>
      <c r="B14" s="28" t="s">
        <v>39</v>
      </c>
      <c r="C14" s="28" t="s">
        <v>40</v>
      </c>
      <c r="D14" s="24" t="s">
        <v>41</v>
      </c>
      <c r="E14" s="28" t="s">
        <v>38</v>
      </c>
      <c r="F14" s="30">
        <v>46125.0</v>
      </c>
      <c r="G14" s="32">
        <v>46130.0</v>
      </c>
      <c r="H14" s="26">
        <f t="shared" si="1"/>
        <v>6</v>
      </c>
      <c r="I14" s="33">
        <v>1.0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/>
      <c r="B15" s="28" t="s">
        <v>42</v>
      </c>
      <c r="C15" s="28" t="s">
        <v>43</v>
      </c>
      <c r="D15" s="24" t="s">
        <v>44</v>
      </c>
      <c r="E15" s="28" t="s">
        <v>45</v>
      </c>
      <c r="F15" s="30">
        <v>46132.0</v>
      </c>
      <c r="G15" s="30">
        <v>46136.0</v>
      </c>
      <c r="H15" s="26">
        <f t="shared" si="1"/>
        <v>5</v>
      </c>
      <c r="I15" s="33">
        <v>1.0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/>
      <c r="B16" s="28" t="s">
        <v>46</v>
      </c>
      <c r="C16" s="28" t="s">
        <v>47</v>
      </c>
      <c r="D16" s="24" t="s">
        <v>48</v>
      </c>
      <c r="E16" s="28" t="s">
        <v>49</v>
      </c>
      <c r="F16" s="30">
        <v>46135.0</v>
      </c>
      <c r="G16" s="30">
        <v>46137.0</v>
      </c>
      <c r="H16" s="26">
        <f t="shared" si="1"/>
        <v>3</v>
      </c>
      <c r="I16" s="33">
        <v>1.0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28" t="s">
        <v>50</v>
      </c>
      <c r="C17" s="28" t="s">
        <v>51</v>
      </c>
      <c r="D17" s="24" t="s">
        <v>52</v>
      </c>
      <c r="E17" s="28" t="s">
        <v>49</v>
      </c>
      <c r="F17" s="30">
        <v>46136.0</v>
      </c>
      <c r="G17" s="30">
        <v>46139.0</v>
      </c>
      <c r="H17" s="26">
        <f t="shared" si="1"/>
        <v>4</v>
      </c>
      <c r="I17" s="33">
        <v>1.0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/>
      <c r="B18" s="28" t="s">
        <v>53</v>
      </c>
      <c r="C18" s="29" t="s">
        <v>54</v>
      </c>
      <c r="D18" s="24" t="s">
        <v>55</v>
      </c>
      <c r="E18" s="28" t="s">
        <v>34</v>
      </c>
      <c r="F18" s="30">
        <v>46140.0</v>
      </c>
      <c r="G18" s="30">
        <v>46142.0</v>
      </c>
      <c r="H18" s="26">
        <f t="shared" si="1"/>
        <v>3</v>
      </c>
      <c r="I18" s="33">
        <v>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/>
      <c r="B19" s="28" t="s">
        <v>56</v>
      </c>
      <c r="C19" s="28" t="s">
        <v>57</v>
      </c>
      <c r="D19" s="24" t="s">
        <v>52</v>
      </c>
      <c r="E19" s="28" t="s">
        <v>58</v>
      </c>
      <c r="F19" s="30">
        <v>46142.0</v>
      </c>
      <c r="G19" s="30">
        <v>46144.0</v>
      </c>
      <c r="H19" s="26">
        <f t="shared" si="1"/>
        <v>3</v>
      </c>
      <c r="I19" s="31">
        <v>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 t="s">
        <v>59</v>
      </c>
      <c r="B20" s="34" t="s">
        <v>60</v>
      </c>
      <c r="C20" s="35"/>
      <c r="D20" s="36"/>
      <c r="E20" s="36"/>
      <c r="F20" s="37">
        <v>46111.0</v>
      </c>
      <c r="G20" s="38">
        <v>46144.0</v>
      </c>
      <c r="H20" s="39">
        <f t="shared" si="1"/>
        <v>34</v>
      </c>
      <c r="I20" s="40">
        <v>0.0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/>
      <c r="B21" s="29" t="s">
        <v>61</v>
      </c>
      <c r="C21" s="41" t="s">
        <v>62</v>
      </c>
      <c r="D21" s="42" t="s">
        <v>63</v>
      </c>
      <c r="E21" s="28" t="s">
        <v>64</v>
      </c>
      <c r="F21" s="30">
        <v>46146.0</v>
      </c>
      <c r="G21" s="30">
        <v>46152.0</v>
      </c>
      <c r="H21" s="26">
        <f t="shared" si="1"/>
        <v>7</v>
      </c>
      <c r="I21" s="31">
        <v>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/>
      <c r="B22" s="28" t="s">
        <v>65</v>
      </c>
      <c r="C22" s="28" t="s">
        <v>66</v>
      </c>
      <c r="D22" s="24" t="s">
        <v>67</v>
      </c>
      <c r="E22" s="28" t="s">
        <v>68</v>
      </c>
      <c r="F22" s="30">
        <v>46150.0</v>
      </c>
      <c r="G22" s="30">
        <v>46152.0</v>
      </c>
      <c r="H22" s="26">
        <f t="shared" si="1"/>
        <v>3</v>
      </c>
      <c r="I22" s="31">
        <v>0.0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/>
      <c r="B23" s="28" t="s">
        <v>69</v>
      </c>
      <c r="C23" s="43" t="s">
        <v>70</v>
      </c>
      <c r="D23" s="42" t="s">
        <v>71</v>
      </c>
      <c r="E23" s="28" t="s">
        <v>68</v>
      </c>
      <c r="F23" s="30">
        <v>46152.0</v>
      </c>
      <c r="G23" s="30">
        <v>46154.0</v>
      </c>
      <c r="H23" s="26">
        <f t="shared" si="1"/>
        <v>3</v>
      </c>
      <c r="I23" s="31">
        <v>0.0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/>
      <c r="B24" s="28" t="s">
        <v>72</v>
      </c>
      <c r="C24" s="41" t="s">
        <v>73</v>
      </c>
      <c r="D24" s="42" t="s">
        <v>74</v>
      </c>
      <c r="E24" s="28" t="s">
        <v>75</v>
      </c>
      <c r="F24" s="30">
        <v>46153.0</v>
      </c>
      <c r="G24" s="30">
        <v>46155.0</v>
      </c>
      <c r="H24" s="26">
        <f t="shared" si="1"/>
        <v>3</v>
      </c>
      <c r="I24" s="31">
        <v>0.0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/>
      <c r="B25" s="29" t="s">
        <v>76</v>
      </c>
      <c r="C25" s="43" t="s">
        <v>77</v>
      </c>
      <c r="D25" s="42" t="s">
        <v>78</v>
      </c>
      <c r="E25" s="28" t="s">
        <v>79</v>
      </c>
      <c r="F25" s="30">
        <v>46155.0</v>
      </c>
      <c r="G25" s="30">
        <v>46156.0</v>
      </c>
      <c r="H25" s="26">
        <f t="shared" si="1"/>
        <v>2</v>
      </c>
      <c r="I25" s="31">
        <v>0.0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/>
      <c r="B26" s="28" t="s">
        <v>80</v>
      </c>
      <c r="C26" s="41" t="s">
        <v>81</v>
      </c>
      <c r="D26" s="42" t="s">
        <v>82</v>
      </c>
      <c r="E26" s="28" t="s">
        <v>83</v>
      </c>
      <c r="F26" s="30">
        <v>46150.0</v>
      </c>
      <c r="G26" s="30">
        <v>46159.0</v>
      </c>
      <c r="H26" s="26">
        <f t="shared" si="1"/>
        <v>10</v>
      </c>
      <c r="I26" s="31">
        <v>0.0</v>
      </c>
      <c r="J26" s="3"/>
      <c r="K26" s="3"/>
      <c r="L26" s="3" t="s">
        <v>84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/>
      <c r="B27" s="28" t="s">
        <v>85</v>
      </c>
      <c r="C27" s="43" t="s">
        <v>86</v>
      </c>
      <c r="D27" s="42" t="s">
        <v>87</v>
      </c>
      <c r="E27" s="28" t="s">
        <v>34</v>
      </c>
      <c r="F27" s="30">
        <v>46159.0</v>
      </c>
      <c r="G27" s="30">
        <v>46160.0</v>
      </c>
      <c r="H27" s="26">
        <f t="shared" si="1"/>
        <v>2</v>
      </c>
      <c r="I27" s="31">
        <v>0.0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/>
      <c r="B28" s="28" t="s">
        <v>88</v>
      </c>
      <c r="C28" s="43" t="s">
        <v>89</v>
      </c>
      <c r="D28" s="42" t="s">
        <v>90</v>
      </c>
      <c r="E28" s="28" t="s">
        <v>34</v>
      </c>
      <c r="F28" s="30">
        <v>46160.0</v>
      </c>
      <c r="G28" s="30">
        <v>46161.0</v>
      </c>
      <c r="H28" s="26">
        <f t="shared" si="1"/>
        <v>2</v>
      </c>
      <c r="I28" s="31">
        <v>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/>
      <c r="B29" s="28" t="s">
        <v>91</v>
      </c>
      <c r="C29" s="43" t="s">
        <v>92</v>
      </c>
      <c r="D29" s="42" t="s">
        <v>93</v>
      </c>
      <c r="E29" s="28" t="s">
        <v>34</v>
      </c>
      <c r="F29" s="30">
        <v>46160.0</v>
      </c>
      <c r="G29" s="30">
        <v>46162.0</v>
      </c>
      <c r="H29" s="26">
        <f t="shared" si="1"/>
        <v>3</v>
      </c>
      <c r="I29" s="33">
        <v>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 t="s">
        <v>59</v>
      </c>
      <c r="B30" s="34" t="s">
        <v>94</v>
      </c>
      <c r="C30" s="35"/>
      <c r="D30" s="36"/>
      <c r="E30" s="36"/>
      <c r="F30" s="37">
        <v>46146.0</v>
      </c>
      <c r="G30" s="37">
        <v>46162.0</v>
      </c>
      <c r="H30" s="39">
        <f t="shared" si="1"/>
        <v>17</v>
      </c>
      <c r="I30" s="40">
        <v>0.0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/>
      <c r="B31" s="29" t="s">
        <v>95</v>
      </c>
      <c r="C31" s="43" t="s">
        <v>96</v>
      </c>
      <c r="D31" s="44"/>
      <c r="E31" s="28" t="s">
        <v>97</v>
      </c>
      <c r="F31" s="30">
        <v>46162.0</v>
      </c>
      <c r="G31" s="30">
        <v>46163.0</v>
      </c>
      <c r="H31" s="26">
        <f t="shared" si="1"/>
        <v>2</v>
      </c>
      <c r="I31" s="31">
        <v>0.0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/>
      <c r="B32" s="28" t="s">
        <v>98</v>
      </c>
      <c r="C32" s="43" t="s">
        <v>99</v>
      </c>
      <c r="D32" s="45"/>
      <c r="E32" s="28" t="s">
        <v>75</v>
      </c>
      <c r="F32" s="30">
        <v>46164.0</v>
      </c>
      <c r="G32" s="30">
        <v>46168.0</v>
      </c>
      <c r="H32" s="26">
        <f t="shared" si="1"/>
        <v>5</v>
      </c>
      <c r="I32" s="31">
        <v>0.0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/>
      <c r="B33" s="28" t="s">
        <v>100</v>
      </c>
      <c r="C33" s="43" t="s">
        <v>99</v>
      </c>
      <c r="D33" s="45"/>
      <c r="E33" s="28" t="s">
        <v>101</v>
      </c>
      <c r="F33" s="30">
        <v>46164.0</v>
      </c>
      <c r="G33" s="30">
        <v>46170.0</v>
      </c>
      <c r="H33" s="26">
        <f t="shared" si="1"/>
        <v>7</v>
      </c>
      <c r="I33" s="31">
        <v>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/>
      <c r="B34" s="28" t="s">
        <v>102</v>
      </c>
      <c r="C34" s="43" t="s">
        <v>99</v>
      </c>
      <c r="D34" s="45"/>
      <c r="E34" s="28" t="s">
        <v>101</v>
      </c>
      <c r="F34" s="30">
        <v>46170.0</v>
      </c>
      <c r="G34" s="30">
        <v>46173.0</v>
      </c>
      <c r="H34" s="26">
        <f t="shared" si="1"/>
        <v>4</v>
      </c>
      <c r="I34" s="31">
        <v>0.0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/>
      <c r="B35" s="28" t="s">
        <v>103</v>
      </c>
      <c r="C35" s="43" t="s">
        <v>99</v>
      </c>
      <c r="D35" s="45"/>
      <c r="E35" s="28" t="s">
        <v>101</v>
      </c>
      <c r="F35" s="30">
        <v>46173.0</v>
      </c>
      <c r="G35" s="30">
        <v>46175.0</v>
      </c>
      <c r="H35" s="26">
        <f t="shared" si="1"/>
        <v>3</v>
      </c>
      <c r="I35" s="31">
        <v>0.0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/>
      <c r="B36" s="28" t="s">
        <v>104</v>
      </c>
      <c r="C36" s="43" t="s">
        <v>99</v>
      </c>
      <c r="D36" s="45"/>
      <c r="E36" s="28" t="s">
        <v>101</v>
      </c>
      <c r="F36" s="30">
        <v>46175.0</v>
      </c>
      <c r="G36" s="30">
        <v>46177.0</v>
      </c>
      <c r="H36" s="26">
        <f t="shared" si="1"/>
        <v>3</v>
      </c>
      <c r="I36" s="31">
        <v>0.0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/>
      <c r="B37" s="28" t="s">
        <v>105</v>
      </c>
      <c r="C37" s="43" t="s">
        <v>99</v>
      </c>
      <c r="D37" s="45"/>
      <c r="E37" s="28" t="s">
        <v>75</v>
      </c>
      <c r="F37" s="30">
        <v>46177.0</v>
      </c>
      <c r="G37" s="30">
        <v>46179.0</v>
      </c>
      <c r="H37" s="26">
        <f t="shared" si="1"/>
        <v>3</v>
      </c>
      <c r="I37" s="31">
        <v>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/>
      <c r="B38" s="46" t="s">
        <v>106</v>
      </c>
      <c r="C38" s="47"/>
      <c r="D38" s="48"/>
      <c r="E38" s="48"/>
      <c r="F38" s="49">
        <v>46162.0</v>
      </c>
      <c r="G38" s="49">
        <v>46179.0</v>
      </c>
      <c r="H38" s="50">
        <f t="shared" si="1"/>
        <v>18</v>
      </c>
      <c r="I38" s="51">
        <v>0.0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/>
      <c r="B39" s="28" t="s">
        <v>107</v>
      </c>
      <c r="C39" s="52" t="s">
        <v>99</v>
      </c>
      <c r="D39" s="53"/>
      <c r="E39" s="28" t="s">
        <v>75</v>
      </c>
      <c r="F39" s="30">
        <v>46168.0</v>
      </c>
      <c r="G39" s="30">
        <v>46173.0</v>
      </c>
      <c r="H39" s="26">
        <f t="shared" si="1"/>
        <v>6</v>
      </c>
      <c r="I39" s="31">
        <v>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/>
      <c r="B40" s="28" t="s">
        <v>108</v>
      </c>
      <c r="C40" s="52" t="s">
        <v>99</v>
      </c>
      <c r="D40" s="53"/>
      <c r="E40" s="28" t="s">
        <v>101</v>
      </c>
      <c r="F40" s="30">
        <v>46170.0</v>
      </c>
      <c r="G40" s="30">
        <v>46175.0</v>
      </c>
      <c r="H40" s="26">
        <f t="shared" si="1"/>
        <v>6</v>
      </c>
      <c r="I40" s="31">
        <v>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/>
      <c r="B41" s="28" t="s">
        <v>109</v>
      </c>
      <c r="C41" s="52" t="s">
        <v>99</v>
      </c>
      <c r="D41" s="53"/>
      <c r="E41" s="28" t="s">
        <v>101</v>
      </c>
      <c r="F41" s="30">
        <v>46175.0</v>
      </c>
      <c r="G41" s="30">
        <v>46180.0</v>
      </c>
      <c r="H41" s="26">
        <f t="shared" si="1"/>
        <v>6</v>
      </c>
      <c r="I41" s="31">
        <v>0.0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/>
      <c r="B42" s="28" t="s">
        <v>110</v>
      </c>
      <c r="C42" s="52" t="s">
        <v>99</v>
      </c>
      <c r="D42" s="53"/>
      <c r="E42" s="28" t="s">
        <v>75</v>
      </c>
      <c r="F42" s="30">
        <v>46180.0</v>
      </c>
      <c r="G42" s="30">
        <v>46183.0</v>
      </c>
      <c r="H42" s="26">
        <f t="shared" si="1"/>
        <v>4</v>
      </c>
      <c r="I42" s="31">
        <v>0.0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/>
      <c r="B43" s="46" t="s">
        <v>111</v>
      </c>
      <c r="C43" s="47"/>
      <c r="D43" s="48"/>
      <c r="E43" s="48"/>
      <c r="F43" s="49">
        <v>46165.0</v>
      </c>
      <c r="G43" s="49">
        <v>46183.0</v>
      </c>
      <c r="H43" s="50">
        <f t="shared" si="1"/>
        <v>19</v>
      </c>
      <c r="I43" s="51">
        <v>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/>
      <c r="B44" s="28" t="s">
        <v>112</v>
      </c>
      <c r="C44" s="52" t="s">
        <v>99</v>
      </c>
      <c r="D44" s="53"/>
      <c r="E44" s="28" t="s">
        <v>75</v>
      </c>
      <c r="F44" s="30">
        <v>46173.0</v>
      </c>
      <c r="G44" s="30">
        <v>46177.0</v>
      </c>
      <c r="H44" s="26">
        <f t="shared" si="1"/>
        <v>5</v>
      </c>
      <c r="I44" s="31">
        <v>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/>
      <c r="B45" s="28" t="s">
        <v>113</v>
      </c>
      <c r="C45" s="52" t="s">
        <v>99</v>
      </c>
      <c r="D45" s="53"/>
      <c r="E45" s="28" t="s">
        <v>101</v>
      </c>
      <c r="F45" s="30">
        <v>46175.0</v>
      </c>
      <c r="G45" s="30">
        <v>46181.0</v>
      </c>
      <c r="H45" s="26">
        <f t="shared" si="1"/>
        <v>7</v>
      </c>
      <c r="I45" s="31">
        <v>0.0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/>
      <c r="B46" s="28" t="s">
        <v>114</v>
      </c>
      <c r="C46" s="52" t="s">
        <v>99</v>
      </c>
      <c r="D46" s="53"/>
      <c r="E46" s="28" t="s">
        <v>101</v>
      </c>
      <c r="F46" s="30">
        <v>46181.0</v>
      </c>
      <c r="G46" s="30">
        <v>46184.0</v>
      </c>
      <c r="H46" s="26">
        <f t="shared" si="1"/>
        <v>4</v>
      </c>
      <c r="I46" s="31">
        <v>0.0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/>
      <c r="B47" s="28" t="s">
        <v>115</v>
      </c>
      <c r="C47" s="52" t="s">
        <v>99</v>
      </c>
      <c r="D47" s="53"/>
      <c r="E47" s="28" t="s">
        <v>75</v>
      </c>
      <c r="F47" s="30">
        <v>46184.0</v>
      </c>
      <c r="G47" s="30">
        <v>46187.0</v>
      </c>
      <c r="H47" s="26">
        <f t="shared" si="1"/>
        <v>4</v>
      </c>
      <c r="I47" s="31">
        <v>0.0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/>
      <c r="B48" s="46" t="s">
        <v>116</v>
      </c>
      <c r="C48" s="47"/>
      <c r="D48" s="48"/>
      <c r="E48" s="48"/>
      <c r="F48" s="49">
        <v>46170.0</v>
      </c>
      <c r="G48" s="49">
        <v>46187.0</v>
      </c>
      <c r="H48" s="50">
        <f t="shared" si="1"/>
        <v>18</v>
      </c>
      <c r="I48" s="51">
        <v>0.0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/>
      <c r="B49" s="28" t="s">
        <v>117</v>
      </c>
      <c r="C49" s="52" t="s">
        <v>99</v>
      </c>
      <c r="D49" s="45"/>
      <c r="E49" s="28" t="s">
        <v>75</v>
      </c>
      <c r="F49" s="30">
        <v>46174.0</v>
      </c>
      <c r="G49" s="30">
        <v>46178.0</v>
      </c>
      <c r="H49" s="26">
        <f t="shared" si="1"/>
        <v>5</v>
      </c>
      <c r="I49" s="31">
        <v>0.0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/>
      <c r="B50" s="28" t="s">
        <v>118</v>
      </c>
      <c r="C50" s="52" t="s">
        <v>99</v>
      </c>
      <c r="D50" s="53"/>
      <c r="E50" s="54" t="s">
        <v>101</v>
      </c>
      <c r="F50" s="30">
        <v>46178.0</v>
      </c>
      <c r="G50" s="30">
        <v>46183.0</v>
      </c>
      <c r="H50" s="26">
        <f t="shared" si="1"/>
        <v>6</v>
      </c>
      <c r="I50" s="31">
        <v>0.0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/>
      <c r="B51" s="28" t="s">
        <v>119</v>
      </c>
      <c r="C51" s="52" t="s">
        <v>99</v>
      </c>
      <c r="D51" s="45"/>
      <c r="E51" s="28" t="s">
        <v>75</v>
      </c>
      <c r="F51" s="30">
        <v>46183.0</v>
      </c>
      <c r="G51" s="30">
        <v>46186.0</v>
      </c>
      <c r="H51" s="26">
        <f t="shared" si="1"/>
        <v>4</v>
      </c>
      <c r="I51" s="31">
        <v>0.0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5"/>
      <c r="B52" s="28" t="s">
        <v>120</v>
      </c>
      <c r="C52" s="52" t="s">
        <v>99</v>
      </c>
      <c r="D52" s="45"/>
      <c r="E52" s="28" t="s">
        <v>75</v>
      </c>
      <c r="F52" s="30">
        <v>46186.0</v>
      </c>
      <c r="G52" s="30">
        <v>46189.0</v>
      </c>
      <c r="H52" s="26">
        <f t="shared" si="1"/>
        <v>4</v>
      </c>
      <c r="I52" s="31">
        <v>0.0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/>
      <c r="B53" s="46" t="s">
        <v>121</v>
      </c>
      <c r="C53" s="47"/>
      <c r="D53" s="48"/>
      <c r="E53" s="48"/>
      <c r="F53" s="49">
        <v>46171.0</v>
      </c>
      <c r="G53" s="49">
        <v>46189.0</v>
      </c>
      <c r="H53" s="50">
        <f t="shared" si="1"/>
        <v>19</v>
      </c>
      <c r="I53" s="51">
        <v>0.0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/>
      <c r="B54" s="28" t="s">
        <v>122</v>
      </c>
      <c r="C54" s="52" t="s">
        <v>99</v>
      </c>
      <c r="D54" s="45"/>
      <c r="E54" s="28" t="s">
        <v>34</v>
      </c>
      <c r="F54" s="30">
        <v>46190.0</v>
      </c>
      <c r="G54" s="30">
        <v>46192.0</v>
      </c>
      <c r="H54" s="26">
        <f t="shared" si="1"/>
        <v>3</v>
      </c>
      <c r="I54" s="31">
        <v>0.0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" t="s">
        <v>59</v>
      </c>
      <c r="B55" s="56" t="s">
        <v>123</v>
      </c>
      <c r="C55" s="57"/>
      <c r="D55" s="58"/>
      <c r="E55" s="58"/>
      <c r="F55" s="37">
        <v>46162.0</v>
      </c>
      <c r="G55" s="37">
        <v>46192.0</v>
      </c>
      <c r="H55" s="39">
        <f t="shared" si="1"/>
        <v>31</v>
      </c>
      <c r="I55" s="40">
        <v>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"/>
      <c r="B56" s="28" t="s">
        <v>124</v>
      </c>
      <c r="C56" s="28" t="s">
        <v>125</v>
      </c>
      <c r="D56" s="42" t="s">
        <v>126</v>
      </c>
      <c r="E56" s="28" t="s">
        <v>127</v>
      </c>
      <c r="F56" s="30">
        <v>46192.0</v>
      </c>
      <c r="G56" s="30">
        <v>46194.0</v>
      </c>
      <c r="H56" s="26">
        <f t="shared" si="1"/>
        <v>3</v>
      </c>
      <c r="I56" s="31">
        <v>0.0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"/>
      <c r="B57" s="28" t="s">
        <v>128</v>
      </c>
      <c r="C57" s="29" t="s">
        <v>129</v>
      </c>
      <c r="D57" s="42" t="s">
        <v>130</v>
      </c>
      <c r="E57" s="28" t="s">
        <v>127</v>
      </c>
      <c r="F57" s="30">
        <v>46194.0</v>
      </c>
      <c r="G57" s="30">
        <v>46197.0</v>
      </c>
      <c r="H57" s="26">
        <f t="shared" si="1"/>
        <v>4</v>
      </c>
      <c r="I57" s="31">
        <v>0.0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"/>
      <c r="B58" s="28" t="s">
        <v>131</v>
      </c>
      <c r="C58" s="29" t="s">
        <v>132</v>
      </c>
      <c r="D58" s="42" t="s">
        <v>133</v>
      </c>
      <c r="E58" s="28" t="s">
        <v>127</v>
      </c>
      <c r="F58" s="30">
        <v>46197.0</v>
      </c>
      <c r="G58" s="30">
        <v>46199.0</v>
      </c>
      <c r="H58" s="26">
        <f t="shared" si="1"/>
        <v>3</v>
      </c>
      <c r="I58" s="31">
        <v>0.0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/>
      <c r="B59" s="28" t="s">
        <v>134</v>
      </c>
      <c r="C59" s="29" t="s">
        <v>135</v>
      </c>
      <c r="D59" s="42" t="s">
        <v>136</v>
      </c>
      <c r="E59" s="28" t="s">
        <v>137</v>
      </c>
      <c r="F59" s="30">
        <v>46199.0</v>
      </c>
      <c r="G59" s="30">
        <v>46201.0</v>
      </c>
      <c r="H59" s="26">
        <f t="shared" si="1"/>
        <v>3</v>
      </c>
      <c r="I59" s="31">
        <v>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/>
      <c r="B60" s="28" t="s">
        <v>138</v>
      </c>
      <c r="C60" s="59" t="s">
        <v>139</v>
      </c>
      <c r="D60" s="42" t="s">
        <v>140</v>
      </c>
      <c r="E60" s="28" t="s">
        <v>127</v>
      </c>
      <c r="F60" s="30">
        <v>46201.0</v>
      </c>
      <c r="G60" s="30">
        <v>46202.0</v>
      </c>
      <c r="H60" s="26">
        <f t="shared" si="1"/>
        <v>2</v>
      </c>
      <c r="I60" s="31">
        <v>0.0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/>
      <c r="B61" s="29" t="s">
        <v>141</v>
      </c>
      <c r="C61" s="29" t="s">
        <v>142</v>
      </c>
      <c r="D61" s="42" t="s">
        <v>143</v>
      </c>
      <c r="E61" s="28" t="s">
        <v>34</v>
      </c>
      <c r="F61" s="30">
        <v>46202.0</v>
      </c>
      <c r="G61" s="30">
        <v>46203.0</v>
      </c>
      <c r="H61" s="26">
        <f t="shared" si="1"/>
        <v>2</v>
      </c>
      <c r="I61" s="31">
        <v>0.0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/>
      <c r="B62" s="34" t="s">
        <v>144</v>
      </c>
      <c r="C62" s="57"/>
      <c r="D62" s="58"/>
      <c r="E62" s="58"/>
      <c r="F62" s="37">
        <v>46192.0</v>
      </c>
      <c r="G62" s="37">
        <v>46203.0</v>
      </c>
      <c r="H62" s="39">
        <f t="shared" si="1"/>
        <v>12</v>
      </c>
      <c r="I62" s="40">
        <v>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"/>
      <c r="B63" s="28" t="s">
        <v>145</v>
      </c>
      <c r="C63" s="29" t="s">
        <v>146</v>
      </c>
      <c r="D63" s="24" t="s">
        <v>147</v>
      </c>
      <c r="E63" s="28" t="s">
        <v>148</v>
      </c>
      <c r="F63" s="30">
        <v>46203.0</v>
      </c>
      <c r="G63" s="30">
        <v>46207.0</v>
      </c>
      <c r="H63" s="26">
        <f t="shared" si="1"/>
        <v>5</v>
      </c>
      <c r="I63" s="31">
        <v>0.0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"/>
      <c r="B64" s="28" t="s">
        <v>149</v>
      </c>
      <c r="C64" s="29" t="s">
        <v>150</v>
      </c>
      <c r="D64" s="24" t="s">
        <v>151</v>
      </c>
      <c r="E64" s="28" t="s">
        <v>34</v>
      </c>
      <c r="F64" s="30">
        <v>46207.0</v>
      </c>
      <c r="G64" s="30">
        <v>46208.0</v>
      </c>
      <c r="H64" s="26">
        <f t="shared" si="1"/>
        <v>2</v>
      </c>
      <c r="I64" s="31">
        <v>0.0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"/>
      <c r="B65" s="28" t="s">
        <v>152</v>
      </c>
      <c r="C65" s="29" t="s">
        <v>153</v>
      </c>
      <c r="D65" s="23"/>
      <c r="E65" s="28" t="s">
        <v>34</v>
      </c>
      <c r="F65" s="30">
        <v>46209.0</v>
      </c>
      <c r="G65" s="30">
        <v>46209.0</v>
      </c>
      <c r="H65" s="26">
        <f t="shared" si="1"/>
        <v>1</v>
      </c>
      <c r="I65" s="31">
        <v>0.0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"/>
      <c r="B66" s="56" t="s">
        <v>154</v>
      </c>
      <c r="C66" s="60"/>
      <c r="D66" s="61"/>
      <c r="E66" s="61"/>
      <c r="F66" s="37">
        <v>46203.0</v>
      </c>
      <c r="G66" s="37">
        <v>46209.0</v>
      </c>
      <c r="H66" s="39">
        <f t="shared" si="1"/>
        <v>7</v>
      </c>
      <c r="I66" s="40">
        <v>0.0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"/>
      <c r="B67" s="3"/>
      <c r="C67" s="3"/>
      <c r="D67" s="3"/>
      <c r="E67" s="3"/>
      <c r="F67" s="3"/>
      <c r="G67" s="3"/>
      <c r="H67" s="3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"/>
      <c r="B68" s="3"/>
      <c r="C68" s="3"/>
      <c r="D68" s="3"/>
      <c r="E68" s="3"/>
      <c r="F68" s="3"/>
      <c r="G68" s="3"/>
      <c r="H68" s="3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1"/>
      <c r="B69" s="3"/>
      <c r="C69" s="3"/>
      <c r="D69" s="3"/>
      <c r="E69" s="3"/>
      <c r="F69" s="3"/>
      <c r="G69" s="3"/>
      <c r="H69" s="3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1"/>
      <c r="B70" s="3"/>
      <c r="C70" s="3"/>
      <c r="D70" s="3"/>
      <c r="E70" s="3"/>
      <c r="F70" s="3"/>
      <c r="G70" s="3"/>
      <c r="H70" s="3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1"/>
      <c r="B71" s="3"/>
      <c r="C71" s="3"/>
      <c r="D71" s="3"/>
      <c r="E71" s="3"/>
      <c r="F71" s="3"/>
      <c r="G71" s="3"/>
      <c r="H71" s="3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1"/>
      <c r="B72" s="3"/>
      <c r="C72" s="3"/>
      <c r="D72" s="3"/>
      <c r="E72" s="3"/>
      <c r="F72" s="3"/>
      <c r="G72" s="3"/>
      <c r="H72" s="3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1"/>
      <c r="B73" s="3"/>
      <c r="C73" s="3"/>
      <c r="D73" s="3"/>
      <c r="E73" s="3"/>
      <c r="F73" s="3"/>
      <c r="G73" s="3"/>
      <c r="H73" s="3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1"/>
      <c r="B74" s="3"/>
      <c r="C74" s="3"/>
      <c r="D74" s="3"/>
      <c r="E74" s="3"/>
      <c r="F74" s="3"/>
      <c r="G74" s="3"/>
      <c r="H74" s="3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1"/>
      <c r="B75" s="3"/>
      <c r="C75" s="3"/>
      <c r="D75" s="3"/>
      <c r="E75" s="3"/>
      <c r="F75" s="3"/>
      <c r="G75" s="3"/>
      <c r="H75" s="3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1"/>
      <c r="B76" s="3"/>
      <c r="C76" s="3"/>
      <c r="D76" s="3"/>
      <c r="E76" s="3"/>
      <c r="F76" s="3"/>
      <c r="G76" s="3"/>
      <c r="H76" s="3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1"/>
      <c r="B77" s="3"/>
      <c r="C77" s="3"/>
      <c r="D77" s="3"/>
      <c r="E77" s="3"/>
      <c r="F77" s="3"/>
      <c r="G77" s="3"/>
      <c r="H77" s="3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"/>
      <c r="B78" s="3"/>
      <c r="C78" s="3"/>
      <c r="D78" s="3"/>
      <c r="E78" s="3"/>
      <c r="F78" s="3"/>
      <c r="G78" s="3"/>
      <c r="H78" s="3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1"/>
      <c r="B79" s="3"/>
      <c r="C79" s="3"/>
      <c r="D79" s="3"/>
      <c r="E79" s="3"/>
      <c r="F79" s="3"/>
      <c r="G79" s="3"/>
      <c r="H79" s="3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1"/>
      <c r="B80" s="3"/>
      <c r="C80" s="3"/>
      <c r="D80" s="3"/>
      <c r="E80" s="3"/>
      <c r="F80" s="3"/>
      <c r="G80" s="3"/>
      <c r="H80" s="3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1"/>
      <c r="B81" s="3"/>
      <c r="C81" s="3"/>
      <c r="D81" s="3"/>
      <c r="E81" s="3"/>
      <c r="F81" s="3"/>
      <c r="G81" s="3"/>
      <c r="H81" s="3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1"/>
      <c r="B82" s="3"/>
      <c r="C82" s="3"/>
      <c r="D82" s="3"/>
      <c r="E82" s="3"/>
      <c r="F82" s="3"/>
      <c r="G82" s="3"/>
      <c r="H82" s="3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1"/>
      <c r="B83" s="3"/>
      <c r="C83" s="3"/>
      <c r="D83" s="3"/>
      <c r="E83" s="3"/>
      <c r="F83" s="3"/>
      <c r="G83" s="3"/>
      <c r="H83" s="3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1"/>
      <c r="B84" s="3"/>
      <c r="C84" s="3"/>
      <c r="D84" s="3"/>
      <c r="E84" s="3"/>
      <c r="F84" s="3"/>
      <c r="G84" s="3"/>
      <c r="H84" s="3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1"/>
      <c r="B85" s="3"/>
      <c r="C85" s="3"/>
      <c r="D85" s="3"/>
      <c r="E85" s="3"/>
      <c r="F85" s="3"/>
      <c r="G85" s="3"/>
      <c r="H85" s="3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1"/>
      <c r="B86" s="3"/>
      <c r="C86" s="3"/>
      <c r="D86" s="3"/>
      <c r="E86" s="3"/>
      <c r="F86" s="3"/>
      <c r="G86" s="3"/>
      <c r="H86" s="3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1"/>
      <c r="B87" s="3"/>
      <c r="C87" s="3"/>
      <c r="D87" s="3"/>
      <c r="E87" s="3"/>
      <c r="F87" s="3"/>
      <c r="G87" s="3"/>
      <c r="H87" s="3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1"/>
      <c r="B88" s="3"/>
      <c r="C88" s="3"/>
      <c r="D88" s="3"/>
      <c r="E88" s="3"/>
      <c r="F88" s="3"/>
      <c r="G88" s="3"/>
      <c r="H88" s="3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1"/>
      <c r="B89" s="3"/>
      <c r="C89" s="3"/>
      <c r="D89" s="3"/>
      <c r="E89" s="3"/>
      <c r="F89" s="3"/>
      <c r="G89" s="3"/>
      <c r="H89" s="3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1"/>
      <c r="B90" s="3"/>
      <c r="C90" s="3"/>
      <c r="D90" s="3"/>
      <c r="E90" s="3"/>
      <c r="F90" s="3"/>
      <c r="G90" s="3"/>
      <c r="H90" s="3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1"/>
      <c r="B91" s="3"/>
      <c r="C91" s="3"/>
      <c r="D91" s="3"/>
      <c r="E91" s="3"/>
      <c r="F91" s="3"/>
      <c r="G91" s="3"/>
      <c r="H91" s="3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</sheetData>
  <mergeCells count="15">
    <mergeCell ref="E6:F6"/>
    <mergeCell ref="G6:I6"/>
    <mergeCell ref="E7:F7"/>
    <mergeCell ref="G7:I7"/>
    <mergeCell ref="E8:F8"/>
    <mergeCell ref="G8:I8"/>
    <mergeCell ref="E9:F9"/>
    <mergeCell ref="G9:I9"/>
    <mergeCell ref="B1:I1"/>
    <mergeCell ref="E3:F3"/>
    <mergeCell ref="G3:I3"/>
    <mergeCell ref="E4:F4"/>
    <mergeCell ref="G4:I4"/>
    <mergeCell ref="E5:F5"/>
    <mergeCell ref="G5:I5"/>
  </mergeCells>
  <dataValidations>
    <dataValidation type="decimal" allowBlank="1" showDropDown="1" showInputMessage="1" showErrorMessage="1" prompt="Introduce un número entre 0 y 1 " sqref="I12:I19 I21:I29 I31:I37 I39:I42 I44:I47 I49:I52 I54 I56:I61 I63:I65">
      <formula1>0.0</formula1>
      <formula2>1.0</formula2>
    </dataValidation>
    <dataValidation type="list" allowBlank="1" showErrorMessage="1" sqref="E12:E19 E21:E29 E31:E37 E39:E42 E44:E47 E49:E52 E54 E56:E61 E63:E65">
      <formula1>"Rosales,Hanampa,Guzman,Burga,Raymondez,Huaman,Todos"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86"/>
    <col customWidth="1" min="3" max="3" width="42.0"/>
    <col customWidth="1" min="4" max="4" width="22.86"/>
    <col customWidth="1" min="5" max="5" width="77.57"/>
    <col customWidth="1" min="6" max="8" width="17.29"/>
    <col customWidth="1" min="9" max="26" width="10.71"/>
  </cols>
  <sheetData>
    <row r="1" ht="21.0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3"/>
      <c r="C2" s="3"/>
      <c r="D2" s="4"/>
      <c r="E2" s="5"/>
      <c r="F2" s="3"/>
      <c r="G2" s="3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6" t="s">
        <v>1</v>
      </c>
      <c r="C3" s="7"/>
      <c r="D3" s="4"/>
      <c r="E3" s="8" t="s">
        <v>2</v>
      </c>
      <c r="F3" s="9"/>
      <c r="G3" s="10" t="s">
        <v>3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6" t="s">
        <v>4</v>
      </c>
      <c r="C4" s="12">
        <v>3.0</v>
      </c>
      <c r="D4" s="4"/>
      <c r="E4" s="8" t="s">
        <v>5</v>
      </c>
      <c r="F4" s="9"/>
      <c r="G4" s="10" t="s">
        <v>6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3"/>
      <c r="B5" s="14" t="s">
        <v>7</v>
      </c>
      <c r="C5" s="15" t="s">
        <v>8</v>
      </c>
      <c r="D5" s="4"/>
      <c r="E5" s="8" t="s">
        <v>9</v>
      </c>
      <c r="F5" s="9"/>
      <c r="G5" s="8" t="s">
        <v>10</v>
      </c>
      <c r="H5" s="9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3"/>
      <c r="B6" s="14" t="s">
        <v>11</v>
      </c>
      <c r="C6" s="16" t="s">
        <v>12</v>
      </c>
      <c r="D6" s="4"/>
      <c r="E6" s="8" t="s">
        <v>13</v>
      </c>
      <c r="F6" s="9"/>
      <c r="G6" s="8" t="s">
        <v>14</v>
      </c>
      <c r="H6" s="9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"/>
      <c r="B7" s="6" t="s">
        <v>15</v>
      </c>
      <c r="C7" s="7" t="s">
        <v>16</v>
      </c>
      <c r="D7" s="4"/>
      <c r="E7" s="8" t="s">
        <v>17</v>
      </c>
      <c r="F7" s="9"/>
      <c r="G7" s="8" t="s">
        <v>18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6" t="s">
        <v>19</v>
      </c>
      <c r="C8" s="17">
        <v>46111.0</v>
      </c>
      <c r="D8" s="4"/>
      <c r="E8" s="8" t="s">
        <v>20</v>
      </c>
      <c r="F8" s="9"/>
      <c r="G8" s="8" t="s">
        <v>21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8" t="s">
        <v>22</v>
      </c>
      <c r="C9" s="17">
        <v>46209.0</v>
      </c>
      <c r="D9" s="4"/>
      <c r="E9" s="19"/>
      <c r="G9" s="1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3"/>
      <c r="C10" s="20"/>
      <c r="D10" s="4"/>
      <c r="E10" s="5"/>
      <c r="F10" s="3"/>
      <c r="G10" s="3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62" t="s">
        <v>23</v>
      </c>
      <c r="C11" s="62" t="s">
        <v>24</v>
      </c>
      <c r="D11" s="62" t="s">
        <v>25</v>
      </c>
      <c r="E11" s="62" t="s">
        <v>26</v>
      </c>
      <c r="F11" s="62" t="s">
        <v>155</v>
      </c>
      <c r="G11" s="62" t="s">
        <v>28</v>
      </c>
      <c r="H11" s="62" t="s">
        <v>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63" t="s">
        <v>31</v>
      </c>
      <c r="C12" s="64" t="s">
        <v>32</v>
      </c>
      <c r="D12" s="64" t="s">
        <v>33</v>
      </c>
      <c r="E12" s="64" t="s">
        <v>34</v>
      </c>
      <c r="F12" s="65">
        <v>46111.0</v>
      </c>
      <c r="G12" s="65">
        <v>46113.0</v>
      </c>
      <c r="H12" s="66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67" t="s">
        <v>35</v>
      </c>
      <c r="C13" s="7" t="s">
        <v>36</v>
      </c>
      <c r="D13" s="68" t="s">
        <v>37</v>
      </c>
      <c r="E13" s="67" t="s">
        <v>38</v>
      </c>
      <c r="F13" s="17">
        <v>46118.0</v>
      </c>
      <c r="G13" s="17">
        <v>46123.0</v>
      </c>
      <c r="H13" s="69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67" t="s">
        <v>39</v>
      </c>
      <c r="C14" s="67" t="s">
        <v>40</v>
      </c>
      <c r="D14" s="68" t="s">
        <v>41</v>
      </c>
      <c r="E14" s="67" t="s">
        <v>38</v>
      </c>
      <c r="F14" s="17">
        <v>46125.0</v>
      </c>
      <c r="G14" s="70">
        <v>46130.0</v>
      </c>
      <c r="H14" s="71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67" t="s">
        <v>42</v>
      </c>
      <c r="C15" s="67" t="s">
        <v>43</v>
      </c>
      <c r="D15" s="68" t="s">
        <v>44</v>
      </c>
      <c r="E15" s="67" t="s">
        <v>45</v>
      </c>
      <c r="F15" s="17">
        <v>46132.0</v>
      </c>
      <c r="G15" s="17">
        <v>46136.0</v>
      </c>
      <c r="H15" s="71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67" t="s">
        <v>46</v>
      </c>
      <c r="C16" s="67" t="s">
        <v>47</v>
      </c>
      <c r="D16" s="68" t="s">
        <v>48</v>
      </c>
      <c r="E16" s="67" t="s">
        <v>49</v>
      </c>
      <c r="F16" s="17">
        <v>46135.0</v>
      </c>
      <c r="G16" s="17">
        <v>46136.0</v>
      </c>
      <c r="H16" s="71">
        <v>0.8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67" t="s">
        <v>50</v>
      </c>
      <c r="C17" s="67" t="s">
        <v>51</v>
      </c>
      <c r="D17" s="68" t="s">
        <v>52</v>
      </c>
      <c r="E17" s="67" t="s">
        <v>49</v>
      </c>
      <c r="F17" s="17">
        <v>46136.0</v>
      </c>
      <c r="G17" s="17">
        <v>46137.0</v>
      </c>
      <c r="H17" s="71">
        <v>0.8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/>
      <c r="B18" s="7" t="s">
        <v>156</v>
      </c>
      <c r="C18" s="7" t="s">
        <v>157</v>
      </c>
      <c r="D18" s="68" t="s">
        <v>158</v>
      </c>
      <c r="E18" s="67" t="s">
        <v>58</v>
      </c>
      <c r="F18" s="17">
        <v>46138.0</v>
      </c>
      <c r="G18" s="17">
        <v>46138.0</v>
      </c>
      <c r="H18" s="69">
        <v>0.0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/>
      <c r="B19" s="67" t="s">
        <v>53</v>
      </c>
      <c r="C19" s="7" t="s">
        <v>54</v>
      </c>
      <c r="D19" s="68" t="s">
        <v>55</v>
      </c>
      <c r="E19" s="67" t="s">
        <v>34</v>
      </c>
      <c r="F19" s="17">
        <v>46138.0</v>
      </c>
      <c r="G19" s="17">
        <v>46140.0</v>
      </c>
      <c r="H19" s="71">
        <v>0.0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/>
      <c r="B20" s="67" t="s">
        <v>56</v>
      </c>
      <c r="C20" s="67" t="s">
        <v>57</v>
      </c>
      <c r="D20" s="68" t="s">
        <v>52</v>
      </c>
      <c r="E20" s="67" t="s">
        <v>58</v>
      </c>
      <c r="F20" s="17">
        <v>46140.0</v>
      </c>
      <c r="G20" s="17">
        <v>46143.0</v>
      </c>
      <c r="H20" s="69">
        <v>0.0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59</v>
      </c>
      <c r="B21" s="72" t="s">
        <v>60</v>
      </c>
      <c r="C21" s="73">
        <v>46137.0</v>
      </c>
      <c r="D21" s="11"/>
      <c r="E21" s="11"/>
      <c r="F21" s="11"/>
      <c r="G21" s="11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67" t="s">
        <v>65</v>
      </c>
      <c r="C22" s="7" t="s">
        <v>159</v>
      </c>
      <c r="D22" s="68" t="s">
        <v>67</v>
      </c>
      <c r="E22" s="67" t="s">
        <v>160</v>
      </c>
      <c r="F22" s="17">
        <v>46144.0</v>
      </c>
      <c r="G22" s="17">
        <v>46149.0</v>
      </c>
      <c r="H22" s="69">
        <v>0.0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7" t="s">
        <v>61</v>
      </c>
      <c r="C23" s="74" t="s">
        <v>62</v>
      </c>
      <c r="D23" s="75" t="s">
        <v>63</v>
      </c>
      <c r="E23" s="67" t="s">
        <v>64</v>
      </c>
      <c r="F23" s="17">
        <v>46144.0</v>
      </c>
      <c r="G23" s="17">
        <v>46149.0</v>
      </c>
      <c r="H23" s="69">
        <v>0.0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67" t="s">
        <v>69</v>
      </c>
      <c r="C24" s="74" t="s">
        <v>161</v>
      </c>
      <c r="D24" s="75" t="s">
        <v>71</v>
      </c>
      <c r="E24" s="67" t="s">
        <v>162</v>
      </c>
      <c r="F24" s="17">
        <v>46149.0</v>
      </c>
      <c r="G24" s="17">
        <v>46151.0</v>
      </c>
      <c r="H24" s="69">
        <v>0.0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7" t="s">
        <v>163</v>
      </c>
      <c r="C25" s="74" t="s">
        <v>81</v>
      </c>
      <c r="D25" s="75" t="s">
        <v>82</v>
      </c>
      <c r="E25" s="67" t="s">
        <v>83</v>
      </c>
      <c r="F25" s="17">
        <v>46144.0</v>
      </c>
      <c r="G25" s="17">
        <v>46180.0</v>
      </c>
      <c r="H25" s="69">
        <v>0.0</v>
      </c>
      <c r="I25" s="3"/>
      <c r="J25" s="3"/>
      <c r="K25" s="3" t="s">
        <v>84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67" t="s">
        <v>85</v>
      </c>
      <c r="C26" s="74" t="s">
        <v>164</v>
      </c>
      <c r="D26" s="75" t="s">
        <v>165</v>
      </c>
      <c r="E26" s="67" t="s">
        <v>166</v>
      </c>
      <c r="F26" s="17">
        <v>46149.0</v>
      </c>
      <c r="G26" s="17">
        <v>46153.0</v>
      </c>
      <c r="H26" s="69">
        <v>0.0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67" t="s">
        <v>88</v>
      </c>
      <c r="C27" s="74" t="s">
        <v>164</v>
      </c>
      <c r="D27" s="75" t="s">
        <v>165</v>
      </c>
      <c r="E27" s="67" t="s">
        <v>166</v>
      </c>
      <c r="F27" s="17">
        <v>46149.0</v>
      </c>
      <c r="G27" s="17">
        <v>46153.0</v>
      </c>
      <c r="H27" s="69">
        <v>0.0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7" t="s">
        <v>76</v>
      </c>
      <c r="C28" s="76" t="s">
        <v>77</v>
      </c>
      <c r="D28" s="75" t="s">
        <v>78</v>
      </c>
      <c r="E28" s="67" t="s">
        <v>101</v>
      </c>
      <c r="F28" s="17">
        <v>46155.0</v>
      </c>
      <c r="G28" s="17">
        <v>46158.0</v>
      </c>
      <c r="H28" s="69">
        <v>0.0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67" t="s">
        <v>167</v>
      </c>
      <c r="C29" s="76" t="s">
        <v>168</v>
      </c>
      <c r="D29" s="75" t="s">
        <v>169</v>
      </c>
      <c r="E29" s="67" t="s">
        <v>83</v>
      </c>
      <c r="F29" s="17">
        <v>46155.0</v>
      </c>
      <c r="G29" s="17">
        <v>46158.0</v>
      </c>
      <c r="H29" s="69">
        <v>0.0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67" t="s">
        <v>72</v>
      </c>
      <c r="C30" s="74" t="s">
        <v>73</v>
      </c>
      <c r="D30" s="75" t="s">
        <v>74</v>
      </c>
      <c r="E30" s="67" t="s">
        <v>75</v>
      </c>
      <c r="F30" s="17">
        <v>46153.0</v>
      </c>
      <c r="G30" s="17">
        <v>46158.0</v>
      </c>
      <c r="H30" s="69">
        <v>0.0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59</v>
      </c>
      <c r="B31" s="72" t="s">
        <v>94</v>
      </c>
      <c r="C31" s="77">
        <v>46156.0</v>
      </c>
      <c r="D31" s="11"/>
      <c r="E31" s="11"/>
      <c r="F31" s="11"/>
      <c r="G31" s="11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7" t="s">
        <v>95</v>
      </c>
      <c r="C32" s="74" t="s">
        <v>170</v>
      </c>
      <c r="D32" s="78"/>
      <c r="E32" s="67" t="s">
        <v>97</v>
      </c>
      <c r="F32" s="70">
        <v>46157.0</v>
      </c>
      <c r="G32" s="70">
        <v>46162.0</v>
      </c>
      <c r="H32" s="69">
        <v>0.0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79" t="s">
        <v>106</v>
      </c>
      <c r="C33" s="80"/>
      <c r="D33" s="11"/>
      <c r="E33" s="11"/>
      <c r="F33" s="11"/>
      <c r="G33" s="11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67" t="s">
        <v>171</v>
      </c>
      <c r="C34" s="76" t="s">
        <v>99</v>
      </c>
      <c r="D34" s="81"/>
      <c r="E34" s="67" t="s">
        <v>101</v>
      </c>
      <c r="F34" s="70">
        <v>46162.0</v>
      </c>
      <c r="G34" s="70">
        <v>46166.0</v>
      </c>
      <c r="H34" s="69">
        <v>0.0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67" t="s">
        <v>172</v>
      </c>
      <c r="C35" s="76" t="s">
        <v>99</v>
      </c>
      <c r="D35" s="81"/>
      <c r="E35" s="67" t="s">
        <v>101</v>
      </c>
      <c r="F35" s="70">
        <v>46162.0</v>
      </c>
      <c r="G35" s="70">
        <v>46166.0</v>
      </c>
      <c r="H35" s="69">
        <v>0.0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67" t="s">
        <v>173</v>
      </c>
      <c r="C36" s="76" t="s">
        <v>99</v>
      </c>
      <c r="D36" s="81"/>
      <c r="E36" s="67" t="s">
        <v>101</v>
      </c>
      <c r="F36" s="70">
        <v>46167.0</v>
      </c>
      <c r="G36" s="70">
        <v>46173.0</v>
      </c>
      <c r="H36" s="69">
        <v>0.0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67" t="s">
        <v>174</v>
      </c>
      <c r="C37" s="76" t="s">
        <v>99</v>
      </c>
      <c r="D37" s="81"/>
      <c r="E37" s="67" t="s">
        <v>101</v>
      </c>
      <c r="F37" s="70">
        <v>46167.0</v>
      </c>
      <c r="G37" s="70">
        <v>46173.0</v>
      </c>
      <c r="H37" s="69">
        <v>0.0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67" t="s">
        <v>175</v>
      </c>
      <c r="C38" s="76" t="s">
        <v>99</v>
      </c>
      <c r="D38" s="81"/>
      <c r="E38" s="67" t="s">
        <v>75</v>
      </c>
      <c r="F38" s="70">
        <v>46162.0</v>
      </c>
      <c r="G38" s="70">
        <v>46166.0</v>
      </c>
      <c r="H38" s="69">
        <v>0.0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67" t="s">
        <v>176</v>
      </c>
      <c r="C39" s="76" t="s">
        <v>99</v>
      </c>
      <c r="D39" s="81"/>
      <c r="E39" s="67" t="s">
        <v>75</v>
      </c>
      <c r="F39" s="70">
        <v>46162.0</v>
      </c>
      <c r="G39" s="70">
        <v>46166.0</v>
      </c>
      <c r="H39" s="69">
        <v>0.0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67" t="s">
        <v>177</v>
      </c>
      <c r="C40" s="76" t="s">
        <v>99</v>
      </c>
      <c r="D40" s="81"/>
      <c r="E40" s="67" t="s">
        <v>75</v>
      </c>
      <c r="F40" s="70">
        <v>46167.0</v>
      </c>
      <c r="G40" s="70">
        <v>46173.0</v>
      </c>
      <c r="H40" s="69">
        <v>0.0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67" t="s">
        <v>178</v>
      </c>
      <c r="C41" s="76" t="s">
        <v>99</v>
      </c>
      <c r="D41" s="81"/>
      <c r="E41" s="67" t="s">
        <v>75</v>
      </c>
      <c r="F41" s="70">
        <v>46167.0</v>
      </c>
      <c r="G41" s="70">
        <v>46173.0</v>
      </c>
      <c r="H41" s="69">
        <v>0.0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79" t="s">
        <v>179</v>
      </c>
      <c r="C42" s="82"/>
      <c r="D42" s="83"/>
      <c r="E42" s="83"/>
      <c r="F42" s="83"/>
      <c r="G42" s="83"/>
      <c r="H42" s="8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67" t="s">
        <v>180</v>
      </c>
      <c r="C43" s="85" t="s">
        <v>99</v>
      </c>
      <c r="D43" s="86"/>
      <c r="E43" s="67" t="s">
        <v>101</v>
      </c>
      <c r="F43" s="70">
        <v>46162.0</v>
      </c>
      <c r="G43" s="70">
        <v>46166.0</v>
      </c>
      <c r="H43" s="69">
        <v>0.0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67" t="s">
        <v>181</v>
      </c>
      <c r="C44" s="85" t="s">
        <v>99</v>
      </c>
      <c r="D44" s="86"/>
      <c r="E44" s="67" t="s">
        <v>101</v>
      </c>
      <c r="F44" s="70">
        <v>46162.0</v>
      </c>
      <c r="G44" s="70">
        <v>46166.0</v>
      </c>
      <c r="H44" s="69">
        <v>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67" t="s">
        <v>182</v>
      </c>
      <c r="C45" s="85" t="s">
        <v>99</v>
      </c>
      <c r="D45" s="86"/>
      <c r="E45" s="67" t="s">
        <v>101</v>
      </c>
      <c r="F45" s="70">
        <v>46167.0</v>
      </c>
      <c r="G45" s="70">
        <v>46173.0</v>
      </c>
      <c r="H45" s="69">
        <v>0.0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67" t="s">
        <v>183</v>
      </c>
      <c r="C46" s="85" t="s">
        <v>99</v>
      </c>
      <c r="D46" s="86"/>
      <c r="E46" s="67" t="s">
        <v>101</v>
      </c>
      <c r="F46" s="70">
        <v>46167.0</v>
      </c>
      <c r="G46" s="70">
        <v>46173.0</v>
      </c>
      <c r="H46" s="69">
        <v>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67" t="s">
        <v>184</v>
      </c>
      <c r="C47" s="85" t="s">
        <v>99</v>
      </c>
      <c r="D47" s="86"/>
      <c r="E47" s="67" t="s">
        <v>75</v>
      </c>
      <c r="F47" s="70">
        <v>46162.0</v>
      </c>
      <c r="G47" s="70">
        <v>46166.0</v>
      </c>
      <c r="H47" s="69">
        <v>0.0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67" t="s">
        <v>185</v>
      </c>
      <c r="C48" s="85" t="s">
        <v>99</v>
      </c>
      <c r="D48" s="86"/>
      <c r="E48" s="67" t="s">
        <v>75</v>
      </c>
      <c r="F48" s="70">
        <v>46162.0</v>
      </c>
      <c r="G48" s="70">
        <v>46166.0</v>
      </c>
      <c r="H48" s="69">
        <v>0.0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67" t="s">
        <v>186</v>
      </c>
      <c r="C49" s="85" t="s">
        <v>99</v>
      </c>
      <c r="D49" s="86"/>
      <c r="E49" s="67" t="s">
        <v>75</v>
      </c>
      <c r="F49" s="70">
        <v>46167.0</v>
      </c>
      <c r="G49" s="70">
        <v>46173.0</v>
      </c>
      <c r="H49" s="69">
        <v>0.0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67" t="s">
        <v>187</v>
      </c>
      <c r="C50" s="76" t="s">
        <v>99</v>
      </c>
      <c r="D50" s="81"/>
      <c r="E50" s="67" t="s">
        <v>75</v>
      </c>
      <c r="F50" s="70">
        <v>46167.0</v>
      </c>
      <c r="G50" s="70">
        <v>46173.0</v>
      </c>
      <c r="H50" s="69">
        <v>0.0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79" t="s">
        <v>188</v>
      </c>
      <c r="C51" s="82"/>
      <c r="D51" s="83"/>
      <c r="E51" s="83"/>
      <c r="F51" s="83"/>
      <c r="G51" s="83"/>
      <c r="H51" s="8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67" t="s">
        <v>189</v>
      </c>
      <c r="C52" s="85" t="s">
        <v>99</v>
      </c>
      <c r="D52" s="86"/>
      <c r="E52" s="67" t="s">
        <v>101</v>
      </c>
      <c r="F52" s="70">
        <v>46162.0</v>
      </c>
      <c r="G52" s="70">
        <v>46166.0</v>
      </c>
      <c r="H52" s="69">
        <v>0.0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67" t="s">
        <v>190</v>
      </c>
      <c r="C53" s="85" t="s">
        <v>99</v>
      </c>
      <c r="D53" s="86"/>
      <c r="E53" s="67" t="s">
        <v>101</v>
      </c>
      <c r="F53" s="70">
        <v>46162.0</v>
      </c>
      <c r="G53" s="70">
        <v>46166.0</v>
      </c>
      <c r="H53" s="69">
        <v>0.0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67" t="s">
        <v>191</v>
      </c>
      <c r="C54" s="85" t="s">
        <v>99</v>
      </c>
      <c r="D54" s="86"/>
      <c r="E54" s="67" t="s">
        <v>101</v>
      </c>
      <c r="F54" s="70">
        <v>46167.0</v>
      </c>
      <c r="G54" s="70">
        <v>46173.0</v>
      </c>
      <c r="H54" s="69">
        <v>0.0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67" t="s">
        <v>192</v>
      </c>
      <c r="C55" s="85" t="s">
        <v>99</v>
      </c>
      <c r="D55" s="86"/>
      <c r="E55" s="67" t="s">
        <v>75</v>
      </c>
      <c r="F55" s="70">
        <v>46167.0</v>
      </c>
      <c r="G55" s="70">
        <v>46173.0</v>
      </c>
      <c r="H55" s="69">
        <v>0.0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67" t="s">
        <v>193</v>
      </c>
      <c r="C56" s="85" t="s">
        <v>99</v>
      </c>
      <c r="D56" s="86"/>
      <c r="E56" s="67" t="s">
        <v>75</v>
      </c>
      <c r="F56" s="70">
        <v>46162.0</v>
      </c>
      <c r="G56" s="70">
        <v>46166.0</v>
      </c>
      <c r="H56" s="69">
        <v>0.0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67" t="s">
        <v>194</v>
      </c>
      <c r="C57" s="85" t="s">
        <v>99</v>
      </c>
      <c r="D57" s="86"/>
      <c r="E57" s="67" t="s">
        <v>75</v>
      </c>
      <c r="F57" s="70">
        <v>46167.0</v>
      </c>
      <c r="G57" s="70">
        <v>46173.0</v>
      </c>
      <c r="H57" s="69">
        <v>0.0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67" t="s">
        <v>195</v>
      </c>
      <c r="C58" s="85" t="s">
        <v>99</v>
      </c>
      <c r="D58" s="86"/>
      <c r="E58" s="67" t="s">
        <v>75</v>
      </c>
      <c r="F58" s="70">
        <v>46167.0</v>
      </c>
      <c r="G58" s="70">
        <v>46173.0</v>
      </c>
      <c r="H58" s="69">
        <v>0.0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79" t="s">
        <v>196</v>
      </c>
      <c r="C59" s="82"/>
      <c r="D59" s="83"/>
      <c r="E59" s="83"/>
      <c r="F59" s="83"/>
      <c r="G59" s="83"/>
      <c r="H59" s="8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67" t="s">
        <v>197</v>
      </c>
      <c r="C60" s="85" t="s">
        <v>99</v>
      </c>
      <c r="D60" s="86"/>
      <c r="E60" s="87" t="s">
        <v>101</v>
      </c>
      <c r="F60" s="70">
        <v>46167.0</v>
      </c>
      <c r="G60" s="70">
        <v>46173.0</v>
      </c>
      <c r="H60" s="69">
        <v>0.0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67" t="s">
        <v>198</v>
      </c>
      <c r="C61" s="85" t="s">
        <v>99</v>
      </c>
      <c r="D61" s="81"/>
      <c r="E61" s="67" t="s">
        <v>101</v>
      </c>
      <c r="F61" s="70">
        <v>46167.0</v>
      </c>
      <c r="G61" s="70">
        <v>46173.0</v>
      </c>
      <c r="H61" s="69">
        <v>0.0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67" t="s">
        <v>199</v>
      </c>
      <c r="C62" s="85" t="s">
        <v>99</v>
      </c>
      <c r="D62" s="81"/>
      <c r="E62" s="67" t="s">
        <v>101</v>
      </c>
      <c r="F62" s="70">
        <v>46167.0</v>
      </c>
      <c r="G62" s="70">
        <v>46173.0</v>
      </c>
      <c r="H62" s="69">
        <v>0.0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67" t="s">
        <v>200</v>
      </c>
      <c r="C63" s="85" t="s">
        <v>99</v>
      </c>
      <c r="D63" s="81"/>
      <c r="E63" s="67" t="s">
        <v>75</v>
      </c>
      <c r="F63" s="70">
        <v>46170.0</v>
      </c>
      <c r="G63" s="70">
        <v>46176.0</v>
      </c>
      <c r="H63" s="69">
        <v>0.0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67" t="s">
        <v>201</v>
      </c>
      <c r="C64" s="85" t="s">
        <v>99</v>
      </c>
      <c r="D64" s="81"/>
      <c r="E64" s="67" t="s">
        <v>75</v>
      </c>
      <c r="F64" s="70">
        <v>46167.0</v>
      </c>
      <c r="G64" s="70">
        <v>46173.0</v>
      </c>
      <c r="H64" s="69">
        <v>0.0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5"/>
      <c r="B65" s="67" t="s">
        <v>202</v>
      </c>
      <c r="C65" s="85" t="s">
        <v>99</v>
      </c>
      <c r="D65" s="81"/>
      <c r="E65" s="67" t="s">
        <v>75</v>
      </c>
      <c r="F65" s="70">
        <v>46170.0</v>
      </c>
      <c r="G65" s="70">
        <v>46176.0</v>
      </c>
      <c r="H65" s="69">
        <v>0.0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 t="s">
        <v>59</v>
      </c>
      <c r="B66" s="72" t="s">
        <v>203</v>
      </c>
      <c r="C66" s="73">
        <v>46198.0</v>
      </c>
      <c r="D66" s="11"/>
      <c r="E66" s="11"/>
      <c r="F66" s="11"/>
      <c r="G66" s="11"/>
      <c r="H66" s="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7" t="s">
        <v>204</v>
      </c>
      <c r="C67" s="7" t="s">
        <v>129</v>
      </c>
      <c r="D67" s="75" t="s">
        <v>130</v>
      </c>
      <c r="E67" s="67" t="s">
        <v>127</v>
      </c>
      <c r="F67" s="17">
        <v>46198.0</v>
      </c>
      <c r="G67" s="17">
        <v>46200.0</v>
      </c>
      <c r="H67" s="69">
        <v>0.0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7" t="s">
        <v>205</v>
      </c>
      <c r="C68" s="7" t="s">
        <v>132</v>
      </c>
      <c r="D68" s="75" t="s">
        <v>133</v>
      </c>
      <c r="E68" s="67" t="s">
        <v>127</v>
      </c>
      <c r="F68" s="17">
        <v>46198.0</v>
      </c>
      <c r="G68" s="17">
        <v>46200.0</v>
      </c>
      <c r="H68" s="69">
        <v>0.0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7" t="s">
        <v>206</v>
      </c>
      <c r="C69" s="7" t="s">
        <v>135</v>
      </c>
      <c r="D69" s="75" t="s">
        <v>136</v>
      </c>
      <c r="E69" s="67" t="s">
        <v>137</v>
      </c>
      <c r="F69" s="17">
        <v>46200.0</v>
      </c>
      <c r="G69" s="17">
        <v>46202.0</v>
      </c>
      <c r="H69" s="69">
        <v>0.0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7" t="s">
        <v>141</v>
      </c>
      <c r="C70" s="7" t="s">
        <v>142</v>
      </c>
      <c r="D70" s="75" t="s">
        <v>143</v>
      </c>
      <c r="E70" s="67" t="s">
        <v>34</v>
      </c>
      <c r="F70" s="17">
        <v>46202.0</v>
      </c>
      <c r="G70" s="17">
        <v>46203.0</v>
      </c>
      <c r="H70" s="69">
        <v>0.0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72" t="s">
        <v>144</v>
      </c>
      <c r="C71" s="73">
        <v>46203.0</v>
      </c>
      <c r="D71" s="11"/>
      <c r="E71" s="11"/>
      <c r="F71" s="11"/>
      <c r="G71" s="11"/>
      <c r="H71" s="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7" t="s">
        <v>207</v>
      </c>
      <c r="C72" s="7" t="s">
        <v>146</v>
      </c>
      <c r="D72" s="68" t="s">
        <v>147</v>
      </c>
      <c r="E72" s="67" t="s">
        <v>148</v>
      </c>
      <c r="F72" s="17">
        <v>46174.0</v>
      </c>
      <c r="G72" s="17">
        <v>46177.0</v>
      </c>
      <c r="H72" s="69">
        <v>0.0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7" t="s">
        <v>208</v>
      </c>
      <c r="C73" s="7" t="s">
        <v>150</v>
      </c>
      <c r="D73" s="68" t="s">
        <v>151</v>
      </c>
      <c r="E73" s="67" t="s">
        <v>34</v>
      </c>
      <c r="F73" s="17">
        <v>46206.0</v>
      </c>
      <c r="G73" s="17">
        <v>46208.0</v>
      </c>
      <c r="H73" s="69">
        <v>0.0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7" t="s">
        <v>209</v>
      </c>
      <c r="C74" s="7" t="s">
        <v>153</v>
      </c>
      <c r="D74" s="88"/>
      <c r="E74" s="67" t="s">
        <v>34</v>
      </c>
      <c r="F74" s="17">
        <v>46209.0</v>
      </c>
      <c r="G74" s="17">
        <v>46209.0</v>
      </c>
      <c r="H74" s="69">
        <v>0.0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72" t="s">
        <v>210</v>
      </c>
      <c r="C75" s="89">
        <v>46209.0</v>
      </c>
      <c r="D75" s="11"/>
      <c r="E75" s="11"/>
      <c r="F75" s="11"/>
      <c r="G75" s="11"/>
      <c r="H75" s="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90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91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91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91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91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91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91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91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91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91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91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91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91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91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91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91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91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91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91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91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91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91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91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91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91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91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91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91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91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91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91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91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91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91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91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91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91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91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91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91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91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91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91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91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91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91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91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91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91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91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91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91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91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91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91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91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91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91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91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91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91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91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91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91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91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91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91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91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91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91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91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91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91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91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91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91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91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91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91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91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91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91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91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91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91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91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91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91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91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91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91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91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91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91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91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91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91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91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91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91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91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91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91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91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91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91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91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91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91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91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91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91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91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91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91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91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91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91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91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91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91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91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91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91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91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91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91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91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91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91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91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91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91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91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91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91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91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91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91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91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91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91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91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91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91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91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91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91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91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91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91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91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91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91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91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91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91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91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91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91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91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91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91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91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91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91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91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91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91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91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91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91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91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91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91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91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91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91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91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91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91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91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91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91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91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91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91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91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91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91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91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91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91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91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91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91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91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91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91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91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91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91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91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91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91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91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91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91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91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91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91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91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91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91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91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91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91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91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91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91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91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91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91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91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91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91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91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91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91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91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91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91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91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91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91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91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91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91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91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91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91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91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91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91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91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91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91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91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91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91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91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91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91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91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91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91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91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91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91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91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91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91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91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91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91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91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91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91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91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91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91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91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91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91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91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91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91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91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91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91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91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91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91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91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91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91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91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91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91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91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91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91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91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91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91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91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91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91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91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91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91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91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91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91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91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91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91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91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91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91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91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91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91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91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91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91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91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91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91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91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91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91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91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91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91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91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91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91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91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91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91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91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91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91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91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91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91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91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91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91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91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91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91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91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91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91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91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91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91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91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91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91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91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91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91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91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91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91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91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91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91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91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91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91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91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91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91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91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91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91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91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91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91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91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91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91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91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91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91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91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91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91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91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91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91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91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91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91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91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91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91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91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91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91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91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91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91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91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91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91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91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91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91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91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91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91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91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91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91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91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91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91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91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91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91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91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91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91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91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91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91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91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91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91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91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91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91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91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91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91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91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91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91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91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91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91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91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91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91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91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91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91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91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91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91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91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91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91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91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91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91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91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91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91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91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91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91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91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91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91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91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91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91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91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91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91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91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91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91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91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91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91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91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91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91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91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91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91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91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91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91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91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91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91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91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91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91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91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91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91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91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91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91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91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91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91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91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91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91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91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91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91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91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91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91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91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91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91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91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91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91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91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91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91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91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91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91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91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91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91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91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91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91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91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91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91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91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91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91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91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91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91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91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91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91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91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91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91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91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91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91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91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91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91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91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91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91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91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91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91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91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91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91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91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91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91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91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91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91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91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91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91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91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91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91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91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91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91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91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91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91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91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91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91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91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91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91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91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91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91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91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91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91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91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91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91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91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91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91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91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91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91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91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91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91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91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91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91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91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91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91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91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91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91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91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91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91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91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91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91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91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91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91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91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91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91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91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91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91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91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91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91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91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91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91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91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91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91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91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91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91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91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91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91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91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91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91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91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91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91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91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91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91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91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91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91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91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91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91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91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91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91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91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91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91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91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91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91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91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91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91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91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91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91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91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91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91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91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91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91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91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91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91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91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91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91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91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91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91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91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91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91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91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91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91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91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91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91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91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91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91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91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91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91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91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91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91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91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91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91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91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91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91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91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91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91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91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91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91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91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91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91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91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91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91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91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91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91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91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91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91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91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91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91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91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91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91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91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91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91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91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91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91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91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91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91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91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91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91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91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91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91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91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91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91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91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91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91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91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91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91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91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91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91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91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91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91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91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91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91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91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91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91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91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91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91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91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91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91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91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91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91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91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91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91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91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91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91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91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91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91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91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91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91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91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91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91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91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91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91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91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91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91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91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91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91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91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91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91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91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91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91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91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91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91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91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91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91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91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91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91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91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91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91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91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91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91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91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91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91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91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91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91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91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91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91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91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91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91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91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91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91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91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91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91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91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91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91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91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91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91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91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91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91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91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91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91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91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91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91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91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91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91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91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91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91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91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91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91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91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91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91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91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91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91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91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91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91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91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91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91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91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91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91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91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91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91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91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91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91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91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91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91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91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91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91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91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91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91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91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91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91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91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91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91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91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91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91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91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91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91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91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91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91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91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91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91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91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91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91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91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91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91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91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91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91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91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91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91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3"/>
      <c r="C995" s="3"/>
      <c r="D995" s="91"/>
      <c r="E995" s="3"/>
      <c r="F995" s="3"/>
      <c r="G995" s="3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3"/>
      <c r="C996" s="3"/>
      <c r="D996" s="91"/>
      <c r="E996" s="3"/>
      <c r="F996" s="3"/>
      <c r="G996" s="3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3"/>
      <c r="C997" s="3"/>
      <c r="D997" s="91"/>
      <c r="E997" s="3"/>
      <c r="F997" s="3"/>
      <c r="G997" s="3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3"/>
      <c r="C998" s="3"/>
      <c r="D998" s="91"/>
      <c r="E998" s="3"/>
      <c r="F998" s="3"/>
      <c r="G998" s="3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3"/>
      <c r="C999" s="3"/>
      <c r="D999" s="91"/>
      <c r="E999" s="3"/>
      <c r="F999" s="3"/>
      <c r="G999" s="3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3"/>
      <c r="C1000" s="3"/>
      <c r="D1000" s="91"/>
      <c r="E1000" s="3"/>
      <c r="F1000" s="3"/>
      <c r="G1000" s="3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1"/>
      <c r="B1001" s="3"/>
      <c r="C1001" s="3"/>
      <c r="D1001" s="91"/>
      <c r="E1001" s="3"/>
      <c r="F1001" s="3"/>
      <c r="G1001" s="3"/>
      <c r="H1001" s="1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1"/>
      <c r="B1002" s="3"/>
      <c r="C1002" s="3"/>
      <c r="D1002" s="91"/>
      <c r="E1002" s="3"/>
      <c r="F1002" s="3"/>
      <c r="G1002" s="3"/>
      <c r="H1002" s="1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1"/>
      <c r="B1003" s="3"/>
      <c r="C1003" s="3"/>
      <c r="D1003" s="91"/>
      <c r="E1003" s="3"/>
      <c r="F1003" s="3"/>
      <c r="G1003" s="3"/>
      <c r="H1003" s="1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1"/>
      <c r="B1004" s="3"/>
      <c r="C1004" s="3"/>
      <c r="D1004" s="91"/>
      <c r="E1004" s="3"/>
      <c r="F1004" s="3"/>
      <c r="G1004" s="3"/>
      <c r="H1004" s="1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1"/>
      <c r="B1005" s="3"/>
      <c r="C1005" s="3"/>
      <c r="D1005" s="91"/>
      <c r="E1005" s="3"/>
      <c r="F1005" s="3"/>
      <c r="G1005" s="3"/>
      <c r="H1005" s="1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1"/>
      <c r="B1006" s="3"/>
      <c r="C1006" s="3"/>
      <c r="D1006" s="91"/>
      <c r="E1006" s="3"/>
      <c r="F1006" s="3"/>
      <c r="G1006" s="3"/>
      <c r="H1006" s="1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1"/>
      <c r="B1007" s="3"/>
      <c r="C1007" s="3"/>
      <c r="D1007" s="91"/>
      <c r="E1007" s="3"/>
      <c r="F1007" s="3"/>
      <c r="G1007" s="3"/>
      <c r="H1007" s="1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1"/>
      <c r="B1008" s="3"/>
      <c r="C1008" s="3"/>
      <c r="D1008" s="91"/>
      <c r="E1008" s="3"/>
      <c r="F1008" s="3"/>
      <c r="G1008" s="3"/>
      <c r="H1008" s="1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1"/>
      <c r="B1009" s="3"/>
      <c r="C1009" s="3"/>
      <c r="D1009" s="91"/>
      <c r="E1009" s="3"/>
      <c r="F1009" s="3"/>
      <c r="G1009" s="3"/>
      <c r="H1009" s="1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1"/>
      <c r="B1010" s="3"/>
      <c r="C1010" s="3"/>
      <c r="D1010" s="91"/>
      <c r="E1010" s="3"/>
      <c r="F1010" s="3"/>
      <c r="G1010" s="3"/>
      <c r="H1010" s="1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1"/>
      <c r="B1011" s="3"/>
      <c r="C1011" s="3"/>
      <c r="D1011" s="91"/>
      <c r="E1011" s="3"/>
      <c r="F1011" s="3"/>
      <c r="G1011" s="3"/>
      <c r="H1011" s="1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1"/>
      <c r="B1012" s="3"/>
      <c r="C1012" s="3"/>
      <c r="D1012" s="91"/>
      <c r="E1012" s="3"/>
      <c r="F1012" s="3"/>
      <c r="G1012" s="3"/>
      <c r="H1012" s="1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1"/>
      <c r="B1013" s="3"/>
      <c r="C1013" s="3"/>
      <c r="D1013" s="91"/>
      <c r="E1013" s="3"/>
      <c r="F1013" s="3"/>
      <c r="G1013" s="3"/>
      <c r="H1013" s="1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1"/>
      <c r="B1014" s="3"/>
      <c r="C1014" s="3"/>
      <c r="D1014" s="91"/>
      <c r="E1014" s="3"/>
      <c r="F1014" s="3"/>
      <c r="G1014" s="3"/>
      <c r="H1014" s="1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1"/>
      <c r="B1015" s="3"/>
      <c r="C1015" s="3"/>
      <c r="D1015" s="91"/>
      <c r="E1015" s="3"/>
      <c r="F1015" s="3"/>
      <c r="G1015" s="3"/>
      <c r="H1015" s="1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1"/>
      <c r="B1016" s="3"/>
      <c r="C1016" s="3"/>
      <c r="D1016" s="91"/>
      <c r="E1016" s="3"/>
      <c r="F1016" s="3"/>
      <c r="G1016" s="3"/>
      <c r="H1016" s="1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1"/>
      <c r="B1017" s="3"/>
      <c r="C1017" s="3"/>
      <c r="D1017" s="91"/>
      <c r="E1017" s="3"/>
      <c r="F1017" s="3"/>
      <c r="G1017" s="3"/>
      <c r="H1017" s="1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1"/>
      <c r="B1018" s="3"/>
      <c r="C1018" s="3"/>
      <c r="D1018" s="91"/>
      <c r="E1018" s="3"/>
      <c r="F1018" s="3"/>
      <c r="G1018" s="3"/>
      <c r="H1018" s="1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1"/>
      <c r="B1019" s="3"/>
      <c r="C1019" s="3"/>
      <c r="D1019" s="91"/>
      <c r="E1019" s="3"/>
      <c r="F1019" s="3"/>
      <c r="G1019" s="3"/>
      <c r="H1019" s="1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1"/>
      <c r="B1020" s="3"/>
      <c r="C1020" s="3"/>
      <c r="D1020" s="91"/>
      <c r="E1020" s="3"/>
      <c r="F1020" s="3"/>
      <c r="G1020" s="3"/>
      <c r="H1020" s="1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1"/>
      <c r="B1021" s="3"/>
      <c r="C1021" s="3"/>
      <c r="D1021" s="91"/>
      <c r="E1021" s="3"/>
      <c r="F1021" s="3"/>
      <c r="G1021" s="3"/>
      <c r="H1021" s="1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1"/>
      <c r="B1022" s="3"/>
      <c r="C1022" s="3"/>
      <c r="D1022" s="91"/>
      <c r="E1022" s="3"/>
      <c r="F1022" s="3"/>
      <c r="G1022" s="3"/>
      <c r="H1022" s="1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1"/>
      <c r="B1023" s="3"/>
      <c r="C1023" s="3"/>
      <c r="D1023" s="91"/>
      <c r="E1023" s="3"/>
      <c r="F1023" s="3"/>
      <c r="G1023" s="3"/>
      <c r="H1023" s="1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1"/>
      <c r="B1024" s="3"/>
      <c r="C1024" s="3"/>
      <c r="D1024" s="91"/>
      <c r="E1024" s="3"/>
      <c r="F1024" s="3"/>
      <c r="G1024" s="3"/>
      <c r="H1024" s="1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1"/>
      <c r="B1025" s="3"/>
      <c r="C1025" s="3"/>
      <c r="D1025" s="91"/>
      <c r="E1025" s="3"/>
      <c r="F1025" s="3"/>
      <c r="G1025" s="3"/>
      <c r="H1025" s="1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1"/>
      <c r="B1026" s="3"/>
      <c r="C1026" s="3"/>
      <c r="D1026" s="91"/>
      <c r="E1026" s="3"/>
      <c r="F1026" s="3"/>
      <c r="G1026" s="3"/>
      <c r="H1026" s="1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</sheetData>
  <mergeCells count="24">
    <mergeCell ref="B1:H1"/>
    <mergeCell ref="E3:F3"/>
    <mergeCell ref="G3:H3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C66:H66"/>
    <mergeCell ref="C71:H71"/>
    <mergeCell ref="C75:H75"/>
    <mergeCell ref="G9:H9"/>
    <mergeCell ref="C21:H21"/>
    <mergeCell ref="C31:H31"/>
    <mergeCell ref="C33:H33"/>
    <mergeCell ref="C42:H42"/>
    <mergeCell ref="C51:H51"/>
    <mergeCell ref="C59:H59"/>
  </mergeCells>
  <dataValidations>
    <dataValidation type="decimal" allowBlank="1" showDropDown="1" showInputMessage="1" showErrorMessage="1" prompt="Introduce un número entre 0 y 1 " sqref="H12:H20 H22:H30 H32 H34:H41 H43:H50 H52:H58 H60:H65 H67:H70 H72:H74">
      <formula1>0.0</formula1>
      <formula2>1.0</formula2>
    </dataValidation>
    <dataValidation type="list" allowBlank="1" showErrorMessage="1" sqref="E12:E20 E22:E30 E32 E34:E41 E43:E50 E52:E58 E60:E65 E67:E70 E72:E74">
      <formula1>"Rosales,Hanampa,Guzman,Burga,Raymondez,Huaman,Todos"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86"/>
    <col customWidth="1" min="3" max="3" width="42.0"/>
    <col customWidth="1" min="4" max="4" width="22.86"/>
    <col customWidth="1" min="5" max="5" width="77.57"/>
    <col customWidth="1" min="6" max="7" width="17.29"/>
    <col customWidth="1" min="8" max="8" width="12.57"/>
    <col customWidth="1" min="9" max="9" width="17.29"/>
    <col customWidth="1" min="10" max="27" width="10.71"/>
  </cols>
  <sheetData>
    <row r="1" ht="21.0" customHeight="1">
      <c r="A1" s="1"/>
      <c r="B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/>
      <c r="B2" s="3"/>
      <c r="C2" s="3"/>
      <c r="D2" s="4"/>
      <c r="E2" s="5"/>
      <c r="F2" s="3"/>
      <c r="G2" s="3"/>
      <c r="H2" s="3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/>
      <c r="B3" s="6" t="s">
        <v>1</v>
      </c>
      <c r="C3" s="7"/>
      <c r="D3" s="4"/>
      <c r="E3" s="8" t="s">
        <v>2</v>
      </c>
      <c r="F3" s="9"/>
      <c r="G3" s="10" t="s">
        <v>3</v>
      </c>
      <c r="H3" s="11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/>
      <c r="B4" s="6" t="s">
        <v>4</v>
      </c>
      <c r="C4" s="12">
        <v>3.0</v>
      </c>
      <c r="D4" s="4"/>
      <c r="E4" s="8" t="s">
        <v>5</v>
      </c>
      <c r="F4" s="9"/>
      <c r="G4" s="10" t="s">
        <v>6</v>
      </c>
      <c r="H4" s="11"/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0" customHeight="1">
      <c r="A5" s="13"/>
      <c r="B5" s="14" t="s">
        <v>7</v>
      </c>
      <c r="C5" s="15" t="s">
        <v>8</v>
      </c>
      <c r="D5" s="4"/>
      <c r="E5" s="8" t="s">
        <v>9</v>
      </c>
      <c r="F5" s="9"/>
      <c r="G5" s="8" t="s">
        <v>10</v>
      </c>
      <c r="H5" s="11"/>
      <c r="I5" s="9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6.5" customHeight="1">
      <c r="A6" s="13"/>
      <c r="B6" s="14" t="s">
        <v>11</v>
      </c>
      <c r="C6" s="16" t="s">
        <v>12</v>
      </c>
      <c r="D6" s="4"/>
      <c r="E6" s="8" t="s">
        <v>13</v>
      </c>
      <c r="F6" s="9"/>
      <c r="G6" s="8" t="s">
        <v>14</v>
      </c>
      <c r="H6" s="11"/>
      <c r="I6" s="9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1"/>
      <c r="B7" s="6" t="s">
        <v>15</v>
      </c>
      <c r="C7" s="7" t="s">
        <v>16</v>
      </c>
      <c r="D7" s="4"/>
      <c r="E7" s="8" t="s">
        <v>17</v>
      </c>
      <c r="F7" s="9"/>
      <c r="G7" s="8" t="s">
        <v>18</v>
      </c>
      <c r="H7" s="11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1"/>
      <c r="B8" s="6" t="s">
        <v>19</v>
      </c>
      <c r="C8" s="17">
        <v>46111.0</v>
      </c>
      <c r="D8" s="4"/>
      <c r="E8" s="8" t="s">
        <v>20</v>
      </c>
      <c r="F8" s="9"/>
      <c r="G8" s="8" t="s">
        <v>21</v>
      </c>
      <c r="H8" s="11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1"/>
      <c r="B9" s="18" t="s">
        <v>22</v>
      </c>
      <c r="C9" s="17">
        <v>46209.0</v>
      </c>
      <c r="D9" s="4"/>
      <c r="E9" s="19"/>
      <c r="G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"/>
      <c r="B10" s="3"/>
      <c r="C10" s="20"/>
      <c r="D10" s="4"/>
      <c r="E10" s="5"/>
      <c r="F10" s="3"/>
      <c r="G10" s="3"/>
      <c r="H10" s="3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/>
      <c r="B11" s="21" t="s">
        <v>23</v>
      </c>
      <c r="C11" s="21" t="s">
        <v>24</v>
      </c>
      <c r="D11" s="21" t="s">
        <v>25</v>
      </c>
      <c r="E11" s="21" t="s">
        <v>26</v>
      </c>
      <c r="F11" s="22" t="s">
        <v>27</v>
      </c>
      <c r="G11" s="21" t="s">
        <v>28</v>
      </c>
      <c r="H11" s="22" t="s">
        <v>29</v>
      </c>
      <c r="I11" s="21" t="s">
        <v>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/>
      <c r="B12" s="23" t="s">
        <v>31</v>
      </c>
      <c r="C12" s="24" t="s">
        <v>32</v>
      </c>
      <c r="D12" s="24" t="s">
        <v>33</v>
      </c>
      <c r="E12" s="24" t="s">
        <v>34</v>
      </c>
      <c r="F12" s="25">
        <v>46111.0</v>
      </c>
      <c r="G12" s="25">
        <v>46113.0</v>
      </c>
      <c r="H12" s="26">
        <f t="shared" ref="H12:H65" si="1">G12-F12+1</f>
        <v>3</v>
      </c>
      <c r="I12" s="27">
        <v>1.0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/>
      <c r="B13" s="28" t="s">
        <v>35</v>
      </c>
      <c r="C13" s="29" t="s">
        <v>36</v>
      </c>
      <c r="D13" s="24" t="s">
        <v>37</v>
      </c>
      <c r="E13" s="28" t="s">
        <v>38</v>
      </c>
      <c r="F13" s="30">
        <v>46118.0</v>
      </c>
      <c r="G13" s="30">
        <v>46123.0</v>
      </c>
      <c r="H13" s="26">
        <f t="shared" si="1"/>
        <v>6</v>
      </c>
      <c r="I13" s="31">
        <v>1.0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/>
      <c r="B14" s="28" t="s">
        <v>39</v>
      </c>
      <c r="C14" s="28" t="s">
        <v>40</v>
      </c>
      <c r="D14" s="24" t="s">
        <v>41</v>
      </c>
      <c r="E14" s="28" t="s">
        <v>38</v>
      </c>
      <c r="F14" s="30">
        <v>46125.0</v>
      </c>
      <c r="G14" s="32">
        <v>46130.0</v>
      </c>
      <c r="H14" s="26">
        <f t="shared" si="1"/>
        <v>6</v>
      </c>
      <c r="I14" s="33">
        <v>1.0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/>
      <c r="B15" s="28" t="s">
        <v>42</v>
      </c>
      <c r="C15" s="28" t="s">
        <v>43</v>
      </c>
      <c r="D15" s="24" t="s">
        <v>44</v>
      </c>
      <c r="E15" s="28" t="s">
        <v>45</v>
      </c>
      <c r="F15" s="30">
        <v>46132.0</v>
      </c>
      <c r="G15" s="30">
        <v>46136.0</v>
      </c>
      <c r="H15" s="26">
        <f t="shared" si="1"/>
        <v>5</v>
      </c>
      <c r="I15" s="33">
        <v>1.0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/>
      <c r="B16" s="28" t="s">
        <v>46</v>
      </c>
      <c r="C16" s="28" t="s">
        <v>47</v>
      </c>
      <c r="D16" s="24" t="s">
        <v>48</v>
      </c>
      <c r="E16" s="28" t="s">
        <v>49</v>
      </c>
      <c r="F16" s="30">
        <v>46135.0</v>
      </c>
      <c r="G16" s="30">
        <v>46137.0</v>
      </c>
      <c r="H16" s="26">
        <f t="shared" si="1"/>
        <v>3</v>
      </c>
      <c r="I16" s="33">
        <v>1.0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28" t="s">
        <v>50</v>
      </c>
      <c r="C17" s="28" t="s">
        <v>51</v>
      </c>
      <c r="D17" s="24" t="s">
        <v>52</v>
      </c>
      <c r="E17" s="28" t="s">
        <v>49</v>
      </c>
      <c r="F17" s="30">
        <v>46136.0</v>
      </c>
      <c r="G17" s="30">
        <v>46139.0</v>
      </c>
      <c r="H17" s="26">
        <f t="shared" si="1"/>
        <v>4</v>
      </c>
      <c r="I17" s="33">
        <v>1.0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/>
      <c r="B18" s="28" t="s">
        <v>53</v>
      </c>
      <c r="C18" s="29" t="s">
        <v>54</v>
      </c>
      <c r="D18" s="24" t="s">
        <v>55</v>
      </c>
      <c r="E18" s="28" t="s">
        <v>34</v>
      </c>
      <c r="F18" s="30">
        <v>46140.0</v>
      </c>
      <c r="G18" s="30">
        <v>46142.0</v>
      </c>
      <c r="H18" s="26">
        <f t="shared" si="1"/>
        <v>3</v>
      </c>
      <c r="I18" s="33">
        <v>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/>
      <c r="B19" s="28" t="s">
        <v>56</v>
      </c>
      <c r="C19" s="28" t="s">
        <v>57</v>
      </c>
      <c r="D19" s="24" t="s">
        <v>52</v>
      </c>
      <c r="E19" s="28" t="s">
        <v>58</v>
      </c>
      <c r="F19" s="30">
        <v>46142.0</v>
      </c>
      <c r="G19" s="30">
        <v>46144.0</v>
      </c>
      <c r="H19" s="26">
        <f t="shared" si="1"/>
        <v>3</v>
      </c>
      <c r="I19" s="31">
        <v>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 t="s">
        <v>59</v>
      </c>
      <c r="B20" s="34" t="s">
        <v>60</v>
      </c>
      <c r="C20" s="35"/>
      <c r="D20" s="36"/>
      <c r="E20" s="36"/>
      <c r="F20" s="37">
        <v>46111.0</v>
      </c>
      <c r="G20" s="38">
        <v>46144.0</v>
      </c>
      <c r="H20" s="39">
        <f t="shared" si="1"/>
        <v>34</v>
      </c>
      <c r="I20" s="40">
        <v>0.0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/>
      <c r="B21" s="29" t="s">
        <v>61</v>
      </c>
      <c r="C21" s="41" t="s">
        <v>62</v>
      </c>
      <c r="D21" s="42" t="s">
        <v>63</v>
      </c>
      <c r="E21" s="28" t="s">
        <v>64</v>
      </c>
      <c r="F21" s="30">
        <v>46146.0</v>
      </c>
      <c r="G21" s="30">
        <v>46152.0</v>
      </c>
      <c r="H21" s="26">
        <f t="shared" si="1"/>
        <v>7</v>
      </c>
      <c r="I21" s="31">
        <v>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/>
      <c r="B22" s="28" t="s">
        <v>65</v>
      </c>
      <c r="C22" s="28" t="s">
        <v>66</v>
      </c>
      <c r="D22" s="24" t="s">
        <v>67</v>
      </c>
      <c r="E22" s="28" t="s">
        <v>68</v>
      </c>
      <c r="F22" s="30">
        <v>46150.0</v>
      </c>
      <c r="G22" s="30">
        <v>46152.0</v>
      </c>
      <c r="H22" s="26">
        <f t="shared" si="1"/>
        <v>3</v>
      </c>
      <c r="I22" s="31">
        <v>0.0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/>
      <c r="B23" s="28" t="s">
        <v>69</v>
      </c>
      <c r="C23" s="43" t="s">
        <v>70</v>
      </c>
      <c r="D23" s="42" t="s">
        <v>71</v>
      </c>
      <c r="E23" s="28" t="s">
        <v>68</v>
      </c>
      <c r="F23" s="30">
        <v>46152.0</v>
      </c>
      <c r="G23" s="30">
        <v>46154.0</v>
      </c>
      <c r="H23" s="26">
        <f t="shared" si="1"/>
        <v>3</v>
      </c>
      <c r="I23" s="31">
        <v>0.0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/>
      <c r="B24" s="28" t="s">
        <v>72</v>
      </c>
      <c r="C24" s="41" t="s">
        <v>73</v>
      </c>
      <c r="D24" s="42" t="s">
        <v>74</v>
      </c>
      <c r="E24" s="28" t="s">
        <v>75</v>
      </c>
      <c r="F24" s="30">
        <v>46153.0</v>
      </c>
      <c r="G24" s="30">
        <v>46155.0</v>
      </c>
      <c r="H24" s="26">
        <f t="shared" si="1"/>
        <v>3</v>
      </c>
      <c r="I24" s="31">
        <v>0.0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/>
      <c r="B25" s="29" t="s">
        <v>76</v>
      </c>
      <c r="C25" s="43" t="s">
        <v>77</v>
      </c>
      <c r="D25" s="42" t="s">
        <v>78</v>
      </c>
      <c r="E25" s="28" t="s">
        <v>79</v>
      </c>
      <c r="F25" s="30">
        <v>46155.0</v>
      </c>
      <c r="G25" s="30">
        <v>46156.0</v>
      </c>
      <c r="H25" s="26">
        <f t="shared" si="1"/>
        <v>2</v>
      </c>
      <c r="I25" s="31">
        <v>0.0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/>
      <c r="B26" s="28" t="s">
        <v>80</v>
      </c>
      <c r="C26" s="41" t="s">
        <v>81</v>
      </c>
      <c r="D26" s="42" t="s">
        <v>82</v>
      </c>
      <c r="E26" s="28" t="s">
        <v>83</v>
      </c>
      <c r="F26" s="30">
        <v>46150.0</v>
      </c>
      <c r="G26" s="30">
        <v>46159.0</v>
      </c>
      <c r="H26" s="26">
        <f t="shared" si="1"/>
        <v>10</v>
      </c>
      <c r="I26" s="31">
        <v>0.0</v>
      </c>
      <c r="J26" s="3"/>
      <c r="K26" s="3"/>
      <c r="L26" s="3" t="s">
        <v>84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/>
      <c r="B27" s="28" t="s">
        <v>85</v>
      </c>
      <c r="C27" s="43" t="s">
        <v>86</v>
      </c>
      <c r="D27" s="42" t="s">
        <v>87</v>
      </c>
      <c r="E27" s="28" t="s">
        <v>34</v>
      </c>
      <c r="F27" s="30">
        <v>46159.0</v>
      </c>
      <c r="G27" s="30">
        <v>46160.0</v>
      </c>
      <c r="H27" s="26">
        <f t="shared" si="1"/>
        <v>2</v>
      </c>
      <c r="I27" s="31">
        <v>0.0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/>
      <c r="B28" s="28" t="s">
        <v>88</v>
      </c>
      <c r="C28" s="43" t="s">
        <v>89</v>
      </c>
      <c r="D28" s="42" t="s">
        <v>90</v>
      </c>
      <c r="E28" s="28" t="s">
        <v>34</v>
      </c>
      <c r="F28" s="30">
        <v>46160.0</v>
      </c>
      <c r="G28" s="30">
        <v>46161.0</v>
      </c>
      <c r="H28" s="26">
        <f t="shared" si="1"/>
        <v>2</v>
      </c>
      <c r="I28" s="31">
        <v>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/>
      <c r="B29" s="28" t="s">
        <v>91</v>
      </c>
      <c r="C29" s="43" t="s">
        <v>92</v>
      </c>
      <c r="D29" s="42" t="s">
        <v>93</v>
      </c>
      <c r="E29" s="28" t="s">
        <v>34</v>
      </c>
      <c r="F29" s="30">
        <v>46160.0</v>
      </c>
      <c r="G29" s="30">
        <v>46162.0</v>
      </c>
      <c r="H29" s="26">
        <f t="shared" si="1"/>
        <v>3</v>
      </c>
      <c r="I29" s="33">
        <v>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 t="s">
        <v>59</v>
      </c>
      <c r="B30" s="34" t="s">
        <v>94</v>
      </c>
      <c r="C30" s="35"/>
      <c r="D30" s="36"/>
      <c r="E30" s="36"/>
      <c r="F30" s="37">
        <v>46146.0</v>
      </c>
      <c r="G30" s="37">
        <v>46162.0</v>
      </c>
      <c r="H30" s="39">
        <f t="shared" si="1"/>
        <v>17</v>
      </c>
      <c r="I30" s="40">
        <v>0.0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/>
      <c r="B31" s="29" t="s">
        <v>95</v>
      </c>
      <c r="C31" s="43" t="s">
        <v>96</v>
      </c>
      <c r="D31" s="44"/>
      <c r="E31" s="28" t="s">
        <v>97</v>
      </c>
      <c r="F31" s="30">
        <v>46162.0</v>
      </c>
      <c r="G31" s="30">
        <v>46163.0</v>
      </c>
      <c r="H31" s="26">
        <f t="shared" si="1"/>
        <v>2</v>
      </c>
      <c r="I31" s="31">
        <v>0.0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/>
      <c r="B32" s="28" t="s">
        <v>98</v>
      </c>
      <c r="C32" s="43" t="s">
        <v>99</v>
      </c>
      <c r="D32" s="45"/>
      <c r="E32" s="28" t="s">
        <v>75</v>
      </c>
      <c r="F32" s="30">
        <v>46163.0</v>
      </c>
      <c r="G32" s="30">
        <v>46165.0</v>
      </c>
      <c r="H32" s="26">
        <f t="shared" si="1"/>
        <v>3</v>
      </c>
      <c r="I32" s="31">
        <v>0.0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/>
      <c r="B33" s="28" t="s">
        <v>100</v>
      </c>
      <c r="C33" s="43" t="s">
        <v>99</v>
      </c>
      <c r="D33" s="45"/>
      <c r="E33" s="28" t="s">
        <v>101</v>
      </c>
      <c r="F33" s="30">
        <v>46163.0</v>
      </c>
      <c r="G33" s="30">
        <v>46167.0</v>
      </c>
      <c r="H33" s="26">
        <f t="shared" si="1"/>
        <v>5</v>
      </c>
      <c r="I33" s="31">
        <v>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/>
      <c r="B34" s="28" t="s">
        <v>102</v>
      </c>
      <c r="C34" s="43" t="s">
        <v>99</v>
      </c>
      <c r="D34" s="45"/>
      <c r="E34" s="28" t="s">
        <v>101</v>
      </c>
      <c r="F34" s="30">
        <v>46167.0</v>
      </c>
      <c r="G34" s="30">
        <v>46169.0</v>
      </c>
      <c r="H34" s="26">
        <f t="shared" si="1"/>
        <v>3</v>
      </c>
      <c r="I34" s="31">
        <v>0.0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/>
      <c r="B35" s="28" t="s">
        <v>103</v>
      </c>
      <c r="C35" s="43" t="s">
        <v>99</v>
      </c>
      <c r="D35" s="45"/>
      <c r="E35" s="28" t="s">
        <v>101</v>
      </c>
      <c r="F35" s="30">
        <v>46169.0</v>
      </c>
      <c r="G35" s="30">
        <v>46171.0</v>
      </c>
      <c r="H35" s="26">
        <f t="shared" si="1"/>
        <v>3</v>
      </c>
      <c r="I35" s="31">
        <v>0.0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/>
      <c r="B36" s="28" t="s">
        <v>104</v>
      </c>
      <c r="C36" s="43" t="s">
        <v>99</v>
      </c>
      <c r="D36" s="45"/>
      <c r="E36" s="28" t="s">
        <v>101</v>
      </c>
      <c r="F36" s="30">
        <v>46171.0</v>
      </c>
      <c r="G36" s="30">
        <v>46173.0</v>
      </c>
      <c r="H36" s="26">
        <f t="shared" si="1"/>
        <v>3</v>
      </c>
      <c r="I36" s="31">
        <v>0.0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/>
      <c r="B37" s="28" t="s">
        <v>105</v>
      </c>
      <c r="C37" s="43" t="s">
        <v>99</v>
      </c>
      <c r="D37" s="45"/>
      <c r="E37" s="28" t="s">
        <v>75</v>
      </c>
      <c r="F37" s="30">
        <v>46173.0</v>
      </c>
      <c r="G37" s="30">
        <v>46175.0</v>
      </c>
      <c r="H37" s="26">
        <f t="shared" si="1"/>
        <v>3</v>
      </c>
      <c r="I37" s="31">
        <v>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/>
      <c r="B38" s="46" t="s">
        <v>106</v>
      </c>
      <c r="C38" s="47"/>
      <c r="D38" s="48"/>
      <c r="E38" s="48"/>
      <c r="F38" s="49">
        <v>46162.0</v>
      </c>
      <c r="G38" s="49">
        <v>46175.0</v>
      </c>
      <c r="H38" s="50">
        <f t="shared" si="1"/>
        <v>14</v>
      </c>
      <c r="I38" s="51">
        <v>0.0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/>
      <c r="B39" s="28" t="s">
        <v>107</v>
      </c>
      <c r="C39" s="52" t="s">
        <v>99</v>
      </c>
      <c r="D39" s="53"/>
      <c r="E39" s="28" t="s">
        <v>75</v>
      </c>
      <c r="F39" s="30">
        <v>46165.0</v>
      </c>
      <c r="G39" s="30">
        <v>46169.0</v>
      </c>
      <c r="H39" s="26">
        <f t="shared" si="1"/>
        <v>5</v>
      </c>
      <c r="I39" s="31">
        <v>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/>
      <c r="B40" s="28" t="s">
        <v>108</v>
      </c>
      <c r="C40" s="52" t="s">
        <v>99</v>
      </c>
      <c r="D40" s="53"/>
      <c r="E40" s="28" t="s">
        <v>101</v>
      </c>
      <c r="F40" s="30">
        <v>46167.0</v>
      </c>
      <c r="G40" s="30">
        <v>46171.0</v>
      </c>
      <c r="H40" s="26">
        <f t="shared" si="1"/>
        <v>5</v>
      </c>
      <c r="I40" s="31">
        <v>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/>
      <c r="B41" s="28" t="s">
        <v>109</v>
      </c>
      <c r="C41" s="52" t="s">
        <v>99</v>
      </c>
      <c r="D41" s="53"/>
      <c r="E41" s="28" t="s">
        <v>101</v>
      </c>
      <c r="F41" s="30">
        <v>46171.0</v>
      </c>
      <c r="G41" s="30">
        <v>46175.0</v>
      </c>
      <c r="H41" s="26">
        <f t="shared" si="1"/>
        <v>5</v>
      </c>
      <c r="I41" s="31">
        <v>0.0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/>
      <c r="B42" s="28" t="s">
        <v>110</v>
      </c>
      <c r="C42" s="52" t="s">
        <v>99</v>
      </c>
      <c r="D42" s="53"/>
      <c r="E42" s="28" t="s">
        <v>75</v>
      </c>
      <c r="F42" s="30">
        <v>46175.0</v>
      </c>
      <c r="G42" s="30">
        <v>46177.0</v>
      </c>
      <c r="H42" s="26">
        <f t="shared" si="1"/>
        <v>3</v>
      </c>
      <c r="I42" s="31">
        <v>0.0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/>
      <c r="B43" s="46" t="s">
        <v>111</v>
      </c>
      <c r="C43" s="47"/>
      <c r="D43" s="48"/>
      <c r="E43" s="48"/>
      <c r="F43" s="49">
        <v>46165.0</v>
      </c>
      <c r="G43" s="49">
        <v>46177.0</v>
      </c>
      <c r="H43" s="50">
        <f t="shared" si="1"/>
        <v>13</v>
      </c>
      <c r="I43" s="51">
        <v>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/>
      <c r="B44" s="28" t="s">
        <v>112</v>
      </c>
      <c r="C44" s="52" t="s">
        <v>99</v>
      </c>
      <c r="D44" s="53"/>
      <c r="E44" s="28" t="s">
        <v>75</v>
      </c>
      <c r="F44" s="30">
        <v>46170.0</v>
      </c>
      <c r="G44" s="30">
        <v>46173.0</v>
      </c>
      <c r="H44" s="26">
        <f t="shared" si="1"/>
        <v>4</v>
      </c>
      <c r="I44" s="31">
        <v>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/>
      <c r="B45" s="28" t="s">
        <v>113</v>
      </c>
      <c r="C45" s="52" t="s">
        <v>99</v>
      </c>
      <c r="D45" s="53"/>
      <c r="E45" s="28" t="s">
        <v>101</v>
      </c>
      <c r="F45" s="30">
        <v>46171.0</v>
      </c>
      <c r="G45" s="30">
        <v>46175.0</v>
      </c>
      <c r="H45" s="26">
        <f t="shared" si="1"/>
        <v>5</v>
      </c>
      <c r="I45" s="31">
        <v>0.0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/>
      <c r="B46" s="28" t="s">
        <v>114</v>
      </c>
      <c r="C46" s="52" t="s">
        <v>99</v>
      </c>
      <c r="D46" s="53"/>
      <c r="E46" s="28" t="s">
        <v>101</v>
      </c>
      <c r="F46" s="30">
        <v>46175.0</v>
      </c>
      <c r="G46" s="30">
        <v>46177.0</v>
      </c>
      <c r="H46" s="26">
        <f t="shared" si="1"/>
        <v>3</v>
      </c>
      <c r="I46" s="31">
        <v>0.0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/>
      <c r="B47" s="28" t="s">
        <v>115</v>
      </c>
      <c r="C47" s="52" t="s">
        <v>99</v>
      </c>
      <c r="D47" s="53"/>
      <c r="E47" s="28" t="s">
        <v>75</v>
      </c>
      <c r="F47" s="30">
        <v>46177.0</v>
      </c>
      <c r="G47" s="30">
        <v>46179.0</v>
      </c>
      <c r="H47" s="26">
        <f t="shared" si="1"/>
        <v>3</v>
      </c>
      <c r="I47" s="31">
        <v>0.0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/>
      <c r="B48" s="46" t="s">
        <v>116</v>
      </c>
      <c r="C48" s="47"/>
      <c r="D48" s="48"/>
      <c r="E48" s="48"/>
      <c r="F48" s="49">
        <v>46170.0</v>
      </c>
      <c r="G48" s="49">
        <v>46179.0</v>
      </c>
      <c r="H48" s="50">
        <f t="shared" si="1"/>
        <v>10</v>
      </c>
      <c r="I48" s="51">
        <v>0.0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/>
      <c r="B49" s="28" t="s">
        <v>117</v>
      </c>
      <c r="C49" s="52" t="s">
        <v>99</v>
      </c>
      <c r="D49" s="45"/>
      <c r="E49" s="28" t="s">
        <v>75</v>
      </c>
      <c r="F49" s="30">
        <v>46171.0</v>
      </c>
      <c r="G49" s="30">
        <v>46173.0</v>
      </c>
      <c r="H49" s="26">
        <f t="shared" si="1"/>
        <v>3</v>
      </c>
      <c r="I49" s="31">
        <v>0.0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/>
      <c r="B50" s="28" t="s">
        <v>118</v>
      </c>
      <c r="C50" s="52" t="s">
        <v>99</v>
      </c>
      <c r="D50" s="53"/>
      <c r="E50" s="54" t="s">
        <v>101</v>
      </c>
      <c r="F50" s="30">
        <v>46173.0</v>
      </c>
      <c r="G50" s="30">
        <v>46177.0</v>
      </c>
      <c r="H50" s="26">
        <f t="shared" si="1"/>
        <v>5</v>
      </c>
      <c r="I50" s="31">
        <v>0.0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/>
      <c r="B51" s="28" t="s">
        <v>119</v>
      </c>
      <c r="C51" s="52" t="s">
        <v>99</v>
      </c>
      <c r="D51" s="45"/>
      <c r="E51" s="28" t="s">
        <v>75</v>
      </c>
      <c r="F51" s="30">
        <v>46177.0</v>
      </c>
      <c r="G51" s="30">
        <v>46179.0</v>
      </c>
      <c r="H51" s="26">
        <f t="shared" si="1"/>
        <v>3</v>
      </c>
      <c r="I51" s="31">
        <v>0.0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5"/>
      <c r="B52" s="28" t="s">
        <v>120</v>
      </c>
      <c r="C52" s="52" t="s">
        <v>99</v>
      </c>
      <c r="D52" s="45"/>
      <c r="E52" s="28" t="s">
        <v>75</v>
      </c>
      <c r="F52" s="30">
        <v>46179.0</v>
      </c>
      <c r="G52" s="30">
        <v>46181.0</v>
      </c>
      <c r="H52" s="26">
        <f t="shared" si="1"/>
        <v>3</v>
      </c>
      <c r="I52" s="31">
        <v>0.0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/>
      <c r="B53" s="46" t="s">
        <v>121</v>
      </c>
      <c r="C53" s="47"/>
      <c r="D53" s="48"/>
      <c r="E53" s="48"/>
      <c r="F53" s="49">
        <v>46171.0</v>
      </c>
      <c r="G53" s="49">
        <v>46181.0</v>
      </c>
      <c r="H53" s="50">
        <f t="shared" si="1"/>
        <v>11</v>
      </c>
      <c r="I53" s="51">
        <v>0.0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 t="s">
        <v>59</v>
      </c>
      <c r="B54" s="56" t="s">
        <v>123</v>
      </c>
      <c r="C54" s="57"/>
      <c r="D54" s="58"/>
      <c r="E54" s="58"/>
      <c r="F54" s="37">
        <v>46162.0</v>
      </c>
      <c r="G54" s="37">
        <v>46181.0</v>
      </c>
      <c r="H54" s="39">
        <f t="shared" si="1"/>
        <v>20</v>
      </c>
      <c r="I54" s="40">
        <v>0.0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"/>
      <c r="B55" s="28" t="s">
        <v>124</v>
      </c>
      <c r="C55" s="28" t="s">
        <v>125</v>
      </c>
      <c r="D55" s="42" t="s">
        <v>126</v>
      </c>
      <c r="E55" s="28" t="s">
        <v>127</v>
      </c>
      <c r="F55" s="30">
        <v>46181.0</v>
      </c>
      <c r="G55" s="30">
        <v>46183.0</v>
      </c>
      <c r="H55" s="26">
        <f t="shared" si="1"/>
        <v>3</v>
      </c>
      <c r="I55" s="31">
        <v>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"/>
      <c r="B56" s="28" t="s">
        <v>128</v>
      </c>
      <c r="C56" s="29" t="s">
        <v>129</v>
      </c>
      <c r="D56" s="42" t="s">
        <v>130</v>
      </c>
      <c r="E56" s="28" t="s">
        <v>127</v>
      </c>
      <c r="F56" s="30">
        <v>46183.0</v>
      </c>
      <c r="G56" s="30">
        <v>46187.0</v>
      </c>
      <c r="H56" s="26">
        <f t="shared" si="1"/>
        <v>5</v>
      </c>
      <c r="I56" s="31">
        <v>0.0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"/>
      <c r="B57" s="28" t="s">
        <v>131</v>
      </c>
      <c r="C57" s="29" t="s">
        <v>132</v>
      </c>
      <c r="D57" s="42" t="s">
        <v>133</v>
      </c>
      <c r="E57" s="28" t="s">
        <v>127</v>
      </c>
      <c r="F57" s="30">
        <v>46187.0</v>
      </c>
      <c r="G57" s="30">
        <v>46190.0</v>
      </c>
      <c r="H57" s="26">
        <f t="shared" si="1"/>
        <v>4</v>
      </c>
      <c r="I57" s="31">
        <v>0.0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"/>
      <c r="B58" s="28" t="s">
        <v>134</v>
      </c>
      <c r="C58" s="29" t="s">
        <v>135</v>
      </c>
      <c r="D58" s="42" t="s">
        <v>136</v>
      </c>
      <c r="E58" s="28" t="s">
        <v>137</v>
      </c>
      <c r="F58" s="30">
        <v>46190.0</v>
      </c>
      <c r="G58" s="30">
        <v>46195.0</v>
      </c>
      <c r="H58" s="26">
        <f t="shared" si="1"/>
        <v>6</v>
      </c>
      <c r="I58" s="31">
        <v>0.0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/>
      <c r="B59" s="28" t="s">
        <v>138</v>
      </c>
      <c r="C59" s="59" t="s">
        <v>139</v>
      </c>
      <c r="D59" s="42" t="s">
        <v>140</v>
      </c>
      <c r="E59" s="28" t="s">
        <v>127</v>
      </c>
      <c r="F59" s="30">
        <v>46195.0</v>
      </c>
      <c r="G59" s="30">
        <v>46197.0</v>
      </c>
      <c r="H59" s="26">
        <f t="shared" si="1"/>
        <v>3</v>
      </c>
      <c r="I59" s="31">
        <v>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/>
      <c r="B60" s="29" t="s">
        <v>141</v>
      </c>
      <c r="C60" s="29" t="s">
        <v>142</v>
      </c>
      <c r="D60" s="42" t="s">
        <v>143</v>
      </c>
      <c r="E60" s="28" t="s">
        <v>34</v>
      </c>
      <c r="F60" s="30">
        <v>46197.0</v>
      </c>
      <c r="G60" s="30">
        <v>46198.0</v>
      </c>
      <c r="H60" s="26">
        <f t="shared" si="1"/>
        <v>2</v>
      </c>
      <c r="I60" s="31">
        <v>0.0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/>
      <c r="B61" s="34" t="s">
        <v>144</v>
      </c>
      <c r="C61" s="57"/>
      <c r="D61" s="58"/>
      <c r="E61" s="58"/>
      <c r="F61" s="37">
        <v>46181.0</v>
      </c>
      <c r="G61" s="37">
        <v>46198.0</v>
      </c>
      <c r="H61" s="39">
        <f t="shared" si="1"/>
        <v>18</v>
      </c>
      <c r="I61" s="40">
        <v>0.0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/>
      <c r="B62" s="28" t="s">
        <v>145</v>
      </c>
      <c r="C62" s="29" t="s">
        <v>146</v>
      </c>
      <c r="D62" s="24" t="s">
        <v>147</v>
      </c>
      <c r="E62" s="28" t="s">
        <v>148</v>
      </c>
      <c r="F62" s="30">
        <v>46198.0</v>
      </c>
      <c r="G62" s="30">
        <v>46206.0</v>
      </c>
      <c r="H62" s="26">
        <f t="shared" si="1"/>
        <v>9</v>
      </c>
      <c r="I62" s="31">
        <v>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"/>
      <c r="B63" s="28" t="s">
        <v>149</v>
      </c>
      <c r="C63" s="29" t="s">
        <v>150</v>
      </c>
      <c r="D63" s="24" t="s">
        <v>151</v>
      </c>
      <c r="E63" s="28" t="s">
        <v>34</v>
      </c>
      <c r="F63" s="30">
        <v>46206.0</v>
      </c>
      <c r="G63" s="30">
        <v>46207.0</v>
      </c>
      <c r="H63" s="26">
        <f t="shared" si="1"/>
        <v>2</v>
      </c>
      <c r="I63" s="31">
        <v>0.0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"/>
      <c r="B64" s="28" t="s">
        <v>152</v>
      </c>
      <c r="C64" s="29" t="s">
        <v>153</v>
      </c>
      <c r="D64" s="23"/>
      <c r="E64" s="28" t="s">
        <v>34</v>
      </c>
      <c r="F64" s="30">
        <v>46209.0</v>
      </c>
      <c r="G64" s="30">
        <v>46209.0</v>
      </c>
      <c r="H64" s="26">
        <f t="shared" si="1"/>
        <v>1</v>
      </c>
      <c r="I64" s="31">
        <v>0.0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"/>
      <c r="B65" s="56" t="s">
        <v>154</v>
      </c>
      <c r="C65" s="60"/>
      <c r="D65" s="61"/>
      <c r="E65" s="61"/>
      <c r="F65" s="37">
        <v>46198.0</v>
      </c>
      <c r="G65" s="37">
        <v>46209.0</v>
      </c>
      <c r="H65" s="39">
        <f t="shared" si="1"/>
        <v>12</v>
      </c>
      <c r="I65" s="40">
        <v>0.0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"/>
      <c r="B66" s="3"/>
      <c r="C66" s="3"/>
      <c r="D66" s="3"/>
      <c r="E66" s="3"/>
      <c r="F66" s="3"/>
      <c r="G66" s="3"/>
      <c r="H66" s="3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"/>
      <c r="B67" s="3"/>
      <c r="C67" s="3"/>
      <c r="D67" s="3"/>
      <c r="E67" s="3"/>
      <c r="F67" s="3"/>
      <c r="G67" s="3"/>
      <c r="H67" s="3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"/>
      <c r="B68" s="3"/>
      <c r="C68" s="3"/>
      <c r="D68" s="3"/>
      <c r="E68" s="3"/>
      <c r="F68" s="3"/>
      <c r="G68" s="3"/>
      <c r="H68" s="3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1"/>
      <c r="B69" s="3"/>
      <c r="C69" s="3"/>
      <c r="D69" s="3"/>
      <c r="E69" s="3"/>
      <c r="F69" s="3"/>
      <c r="G69" s="3"/>
      <c r="H69" s="3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1"/>
      <c r="B70" s="3"/>
      <c r="C70" s="3"/>
      <c r="D70" s="3"/>
      <c r="E70" s="3"/>
      <c r="F70" s="3"/>
      <c r="G70" s="3"/>
      <c r="H70" s="3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1"/>
      <c r="B71" s="3"/>
      <c r="C71" s="3"/>
      <c r="D71" s="3"/>
      <c r="E71" s="3"/>
      <c r="F71" s="3"/>
      <c r="G71" s="3"/>
      <c r="H71" s="3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1"/>
      <c r="B72" s="3"/>
      <c r="C72" s="3"/>
      <c r="D72" s="3"/>
      <c r="E72" s="3"/>
      <c r="F72" s="3"/>
      <c r="G72" s="3"/>
      <c r="H72" s="3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1"/>
      <c r="B73" s="3"/>
      <c r="C73" s="3"/>
      <c r="D73" s="3"/>
      <c r="E73" s="3"/>
      <c r="F73" s="3"/>
      <c r="G73" s="3"/>
      <c r="H73" s="3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1"/>
      <c r="B74" s="3"/>
      <c r="C74" s="3"/>
      <c r="D74" s="3"/>
      <c r="E74" s="3"/>
      <c r="F74" s="3"/>
      <c r="G74" s="3"/>
      <c r="H74" s="3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1"/>
      <c r="B75" s="3"/>
      <c r="C75" s="3"/>
      <c r="D75" s="3"/>
      <c r="E75" s="3"/>
      <c r="F75" s="3"/>
      <c r="G75" s="3"/>
      <c r="H75" s="3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1"/>
      <c r="B76" s="3"/>
      <c r="C76" s="3"/>
      <c r="D76" s="3"/>
      <c r="E76" s="3"/>
      <c r="F76" s="3"/>
      <c r="G76" s="3"/>
      <c r="H76" s="3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1"/>
      <c r="B77" s="3"/>
      <c r="C77" s="3"/>
      <c r="D77" s="3"/>
      <c r="E77" s="3"/>
      <c r="F77" s="3"/>
      <c r="G77" s="3"/>
      <c r="H77" s="3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"/>
      <c r="B78" s="3"/>
      <c r="C78" s="3"/>
      <c r="D78" s="3"/>
      <c r="E78" s="3"/>
      <c r="F78" s="3"/>
      <c r="G78" s="3"/>
      <c r="H78" s="3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1"/>
      <c r="B79" s="3"/>
      <c r="C79" s="3"/>
      <c r="D79" s="3"/>
      <c r="E79" s="3"/>
      <c r="F79" s="3"/>
      <c r="G79" s="3"/>
      <c r="H79" s="3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1"/>
      <c r="B80" s="3"/>
      <c r="C80" s="3"/>
      <c r="D80" s="3"/>
      <c r="E80" s="3"/>
      <c r="F80" s="3"/>
      <c r="G80" s="3"/>
      <c r="H80" s="3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1"/>
      <c r="B81" s="3"/>
      <c r="C81" s="3"/>
      <c r="D81" s="3"/>
      <c r="E81" s="3"/>
      <c r="F81" s="3"/>
      <c r="G81" s="3"/>
      <c r="H81" s="3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1"/>
      <c r="B82" s="3"/>
      <c r="C82" s="3"/>
      <c r="D82" s="3"/>
      <c r="E82" s="3"/>
      <c r="F82" s="3"/>
      <c r="G82" s="3"/>
      <c r="H82" s="3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1"/>
      <c r="B83" s="3"/>
      <c r="C83" s="3"/>
      <c r="D83" s="3"/>
      <c r="E83" s="3"/>
      <c r="F83" s="3"/>
      <c r="G83" s="3"/>
      <c r="H83" s="3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1"/>
      <c r="B84" s="3"/>
      <c r="C84" s="3"/>
      <c r="D84" s="3"/>
      <c r="E84" s="3"/>
      <c r="F84" s="3"/>
      <c r="G84" s="3"/>
      <c r="H84" s="3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1"/>
      <c r="B85" s="3"/>
      <c r="C85" s="3"/>
      <c r="D85" s="3"/>
      <c r="E85" s="3"/>
      <c r="F85" s="3"/>
      <c r="G85" s="3"/>
      <c r="H85" s="3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1"/>
      <c r="B86" s="3"/>
      <c r="C86" s="3"/>
      <c r="D86" s="3"/>
      <c r="E86" s="3"/>
      <c r="F86" s="3"/>
      <c r="G86" s="3"/>
      <c r="H86" s="3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1"/>
      <c r="B87" s="3"/>
      <c r="C87" s="3"/>
      <c r="D87" s="3"/>
      <c r="E87" s="3"/>
      <c r="F87" s="3"/>
      <c r="G87" s="3"/>
      <c r="H87" s="3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1"/>
      <c r="B88" s="3"/>
      <c r="C88" s="3"/>
      <c r="D88" s="3"/>
      <c r="E88" s="3"/>
      <c r="F88" s="3"/>
      <c r="G88" s="3"/>
      <c r="H88" s="3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1"/>
      <c r="B89" s="3"/>
      <c r="C89" s="3"/>
      <c r="D89" s="3"/>
      <c r="E89" s="3"/>
      <c r="F89" s="3"/>
      <c r="G89" s="3"/>
      <c r="H89" s="3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1"/>
      <c r="B90" s="3"/>
      <c r="C90" s="3"/>
      <c r="D90" s="3"/>
      <c r="E90" s="3"/>
      <c r="F90" s="3"/>
      <c r="G90" s="3"/>
      <c r="H90" s="3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</sheetData>
  <mergeCells count="15">
    <mergeCell ref="E6:F6"/>
    <mergeCell ref="G6:I6"/>
    <mergeCell ref="E7:F7"/>
    <mergeCell ref="G7:I7"/>
    <mergeCell ref="E8:F8"/>
    <mergeCell ref="G8:I8"/>
    <mergeCell ref="E9:F9"/>
    <mergeCell ref="G9:I9"/>
    <mergeCell ref="B1:I1"/>
    <mergeCell ref="E3:F3"/>
    <mergeCell ref="G3:I3"/>
    <mergeCell ref="E4:F4"/>
    <mergeCell ref="G4:I4"/>
    <mergeCell ref="E5:F5"/>
    <mergeCell ref="G5:I5"/>
  </mergeCells>
  <dataValidations>
    <dataValidation type="decimal" allowBlank="1" showDropDown="1" showInputMessage="1" showErrorMessage="1" prompt="Introduce un número entre 0 y 1 " sqref="I12:I19 I21:I29 I31:I37 I39:I42 I44:I47 I49:I52 I55:I60 I62:I64">
      <formula1>0.0</formula1>
      <formula2>1.0</formula2>
    </dataValidation>
    <dataValidation type="list" allowBlank="1" showErrorMessage="1" sqref="E12:E19 E21:E29 E31:E37 E39:E42 E44:E47 E49:E52 E55:E60 E62:E64">
      <formula1>"Rosales,Hanampa,Guzman,Burga,Raymondez,Huaman,Todos"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